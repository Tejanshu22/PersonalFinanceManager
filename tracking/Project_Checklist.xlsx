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78db3eeab524f0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eatures" sheetId="1" r:id="R7ba425cb2998499f"/>
    <x:sheet xmlns:r="http://schemas.openxmlformats.org/officeDocument/2006/relationships" name="Daily Plan" sheetId="2" r:id="R367f284962264bf4"/>
    <x:sheet xmlns:r="http://schemas.openxmlformats.org/officeDocument/2006/relationships" name="Overview" sheetId="3" r:id="R116bcce6e7c1437f"/>
    <x:sheet xmlns:r="http://schemas.openxmlformats.org/officeDocument/2006/relationships" name="How To Use" sheetId="4" r:id="Re332024b67ca495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%"/>
  </x:numFmts>
  <x:fonts count="9">
    <x:font>
      <x:sz val="11"/>
      <x:name val="Carlito"/>
    </x:font>
    <x:font>
      <x:b/>
      <x:sz val="15"/>
      <x:color rgb="FFFFFFFF"/>
      <x:name val="Carlito"/>
    </x:font>
    <x:font>
      <x:i/>
      <x:sz val="10"/>
      <x:color rgb="FF546278"/>
      <x:name val="Carlito"/>
    </x:font>
    <x:font>
      <x:b/>
      <x:sz val="11"/>
      <x:color rgb="FFFFFFFF"/>
      <x:name val="Carlito"/>
    </x:font>
    <x:font>
      <x:sz val="11"/>
      <x:color rgb="FF137C80"/>
      <x:name val="Carlito"/>
    </x:font>
    <x:font>
      <x:b/>
      <x:sz val="17"/>
      <x:color rgb="FFFFFFFF"/>
      <x:name val="Carlito"/>
    </x:font>
    <x:font>
      <x:i/>
      <x:sz val="11"/>
      <x:color rgb="FF546278"/>
      <x:name val="Carlito"/>
    </x:font>
    <x:font>
      <x:b/>
      <x:sz val="11"/>
      <x:color rgb="FF15243D"/>
      <x:name val="Carlito"/>
    </x:font>
    <x:font>
      <x:b/>
      <x:sz val="11"/>
      <x:color rgb="FF137C80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5243D"/>
      </x:patternFill>
    </x:fill>
    <x:fill>
      <x:patternFill patternType="solid">
        <x:fgColor rgb="FF137C80"/>
      </x:patternFill>
    </x:fill>
    <x:fill>
      <x:patternFill patternType="solid">
        <x:fgColor rgb="FFEDF8F7"/>
      </x:patternFill>
    </x:fill>
    <x:fill>
      <x:patternFill patternType="solid">
        <x:fgColor rgb="FFF3F6FA"/>
      </x:patternFill>
    </x:fill>
  </x:fills>
  <x:borders count="2">
    <x:border/>
    <x:border/>
  </x:borders>
  <x:cellStyleXfs count="1">
    <x:xf numFmtId="0" fontId="0" fillId="0" borderId="0"/>
  </x:cellStyleXfs>
  <x:cellXfs count="5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 applyAlignment="1">
      <x:alignment horizontal="center" vertical="center" wrapText="1"/>
    </x:xf>
    <x:xf numFmtId="0" fontId="4" fillId="0" borderId="1" xfId="0" applyNumberFormat="1" applyFont="1" applyFill="1" applyBorder="1" applyAlignment="1">
      <x:alignment horizontal="center" vertical="center" wrapText="1"/>
    </x:xf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vertical="center"/>
    </x:xf>
    <x:xf numFmtId="0" fontId="5" fillId="2" borderId="1" xfId="0" applyNumberFormat="1" applyFont="1" applyFill="1" applyBorder="1"/>
    <x:xf numFmtId="0" fontId="5" fillId="2" borderId="1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/>
    <x:xf numFmtId="0" fontId="6" fillId="0" borderId="1" xfId="0" applyNumberFormat="1" applyFont="1" applyFill="1" applyBorder="1"/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4" borderId="0" xfId="0" applyNumberFormat="1" applyFont="1" applyFill="1" applyBorder="1"/>
    <x:xf numFmtId="200" fontId="0" fillId="4" borderId="0" xfId="0" applyNumberFormat="1" applyFont="1" applyFill="1" applyBorder="1"/>
    <x:xf numFmtId="0" fontId="7" fillId="4" borderId="0" xfId="0" applyNumberFormat="1" applyFont="1" applyFill="1" applyBorder="1"/>
    <x:xf numFmtId="200" fontId="7" fillId="4" borderId="0" xfId="0" applyNumberFormat="1" applyFont="1" applyFill="1" applyBorder="1"/>
    <x:xf numFmtId="0" fontId="0" fillId="4" borderId="1" xfId="0" applyNumberFormat="1" applyFont="1" applyFill="1" applyBorder="1"/>
    <x:xf numFmtId="200" fontId="0" fillId="4" borderId="1" xfId="0" applyNumberFormat="1" applyFont="1" applyFill="1" applyBorder="1"/>
    <x:xf numFmtId="0" fontId="7" fillId="4" borderId="1" xfId="0" applyNumberFormat="1" applyFont="1" applyFill="1" applyBorder="1"/>
    <x:xf numFmtId="200" fontId="7" fillId="4" borderId="1" xfId="0" applyNumberFormat="1" applyFont="1" applyFill="1" applyBorder="1"/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wrapText="1"/>
    </x:xf>
    <x:xf numFmtId="0" fontId="0" fillId="5" borderId="1" xfId="0" applyNumberFormat="1" applyFont="1" applyFill="1" applyBorder="1"/>
    <x:xf numFmtId="0" fontId="6" fillId="5" borderId="1" xfId="0" applyNumberFormat="1" applyFont="1" applyFill="1" applyBorder="1"/>
    <x:xf numFmtId="0" fontId="6" fillId="5" borderId="1" xfId="0" applyNumberFormat="1" applyFont="1" applyFill="1" applyBorder="1" applyAlignment="1">
      <x:alignment wrapText="1"/>
    </x:xf>
    <x:xf numFmtId="0" fontId="8" fillId="4" borderId="0" xfId="0" applyNumberFormat="1" applyFont="1" applyFill="1" applyBorder="1"/>
    <x:xf numFmtId="0" fontId="8" fillId="4" borderId="0" xfId="0" applyNumberFormat="1" applyFont="1" applyFill="1" applyBorder="1" applyAlignment="1">
      <x:alignment vertical="center"/>
    </x:xf>
    <x:xf numFmtId="0" fontId="8" fillId="4" borderId="1" xfId="0" applyNumberFormat="1" applyFont="1" applyFill="1" applyBorder="1"/>
    <x:xf numFmtId="0" fontId="8" fillId="4" borderId="1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7" fillId="5" borderId="0" xfId="0" applyNumberFormat="1" applyFont="1" applyFill="1" applyBorder="1"/>
    <x:xf numFmtId="0" fontId="7" fillId="5" borderId="0" xfId="0" applyNumberFormat="1" applyFont="1" applyFill="1" applyBorder="1" applyAlignment="1">
      <x:alignment wrapText="1"/>
    </x:xf>
  </x:cellXfs>
  <x:cellStyles count="1">
    <x:cellStyle name="Normal" xfId="0"/>
  </x:cellStyles>
  <x:dxfs count="8">
    <x:dxf>
      <x:font>
        <x:color rgb="FF166534"/>
      </x:font>
      <x:fill>
        <x:patternFill patternType="solid">
          <x:bgColor rgb="FFDBF6EB"/>
        </x:patternFill>
      </x:fill>
    </x:dxf>
    <x:dxf>
      <x:font>
        <x:color rgb="FF9C2222"/>
      </x:font>
      <x:fill>
        <x:patternFill patternType="solid">
          <x:bgColor rgb="FFFCE8E6"/>
        </x:patternFill>
      </x:fill>
    </x:dxf>
    <x:dxf>
      <x:font>
        <x:color rgb="FF854D0E"/>
      </x:font>
      <x:fill>
        <x:patternFill patternType="solid">
          <x:bgColor rgb="FFFFF3D8"/>
        </x:patternFill>
      </x:fill>
    </x:dxf>
    <x:dxf>
      <x:font>
        <x:color rgb="FF1D4ED8"/>
      </x:font>
      <x:fill>
        <x:patternFill patternType="solid">
          <x:bgColor rgb="FFE4F0FE"/>
        </x:patternFill>
      </x:fill>
    </x:dxf>
    <x:dxf>
      <x:font>
        <x:color rgb="FF166534"/>
      </x:font>
      <x:fill>
        <x:patternFill patternType="solid">
          <x:bgColor rgb="FFDBF6EB"/>
        </x:patternFill>
      </x:fill>
    </x:dxf>
    <x:dxf>
      <x:font>
        <x:color rgb="FF9C2222"/>
      </x:font>
      <x:fill>
        <x:patternFill patternType="solid">
          <x:bgColor rgb="FFFCE8E6"/>
        </x:patternFill>
      </x:fill>
    </x:dxf>
    <x:dxf>
      <x:font>
        <x:color rgb="FF854D0E"/>
      </x:font>
      <x:fill>
        <x:patternFill patternType="solid">
          <x:bgColor rgb="FFFFF3D8"/>
        </x:patternFill>
      </x:fill>
    </x:dxf>
    <x:dxf>
      <x:font>
        <x:color rgb="FF1D4ED8"/>
      </x:font>
      <x:fill>
        <x:patternFill patternType="solid">
          <x:bgColor rgb="FFE4F0F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f745c3a4bf34e9e" /><Relationship Type="http://schemas.openxmlformats.org/officeDocument/2006/relationships/theme" Target="/xl/theme/theme1.xml" Id="Rb6900605482a4dcf" /><Relationship Type="http://schemas.openxmlformats.org/officeDocument/2006/relationships/sharedStrings" Target="/xl/sharedStrings.xml" Id="Rbf6e9822939d4efe" /><Relationship Type="http://schemas.openxmlformats.org/officeDocument/2006/relationships/worksheet" Target="/xl/worksheets/sheet1.xml" Id="R7ba425cb2998499f" /><Relationship Type="http://schemas.openxmlformats.org/officeDocument/2006/relationships/worksheet" Target="/xl/worksheets/sheet2.xml" Id="R367f284962264bf4" /><Relationship Type="http://schemas.openxmlformats.org/officeDocument/2006/relationships/worksheet" Target="/xl/worksheets/sheet3.xml" Id="R116bcce6e7c1437f" /><Relationship Type="http://schemas.openxmlformats.org/officeDocument/2006/relationships/worksheet" Target="/xl/worksheets/sheet4.xml" Id="Re332024b67ca495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7" hidden="0" customWidth="1"/>
    <x:col min="2" max="2" width="14" hidden="0" customWidth="1"/>
    <x:col min="3" max="3" width="11" hidden="0" customWidth="1"/>
    <x:col min="4" max="4" width="28" hidden="0" customWidth="1"/>
    <x:col min="5" max="5" width="42" hidden="0" customWidth="1"/>
    <x:col min="6" max="6" width="10" hidden="0" customWidth="1"/>
    <x:col min="7" max="7" width="11" hidden="0" customWidth="1"/>
    <x:col min="8" max="8" width="18" hidden="0" customWidth="1"/>
    <x:col min="9" max="9" width="62" hidden="0" customWidth="1"/>
    <x:col min="10" max="10" width="16" hidden="0" customWidth="1"/>
    <x:col min="11" max="11" width="44" hidden="0" customWidth="1"/>
  </x:cols>
  <x:sheetData>
    <x:row r="1" ht="36" customHeight="1">
      <x:c r="A1" s="4" t="str">
        <x:v>FINNEST   /   FEATURES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</x:row>
    <x:row r="2" ht="25" customHeight="1">
      <x:c r="A2" s="8" t="str">
        <x:v>Live project tracker — ☑ only when GitHub Issue is closed AND labeled verified.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</x:row>
    <x:row r="4" ht="30" customHeight="1">
      <x:c r="A4" s="13" t="str">
        <x:v>Done</x:v>
      </x:c>
      <x:c r="B4" s="13" t="str">
        <x:v>ID</x:v>
      </x:c>
      <x:c r="C4" s="13" t="str">
        <x:v>Release</x:v>
      </x:c>
      <x:c r="D4" s="13" t="str">
        <x:v>Category</x:v>
      </x:c>
      <x:c r="E4" s="13" t="str">
        <x:v>Feature</x:v>
      </x:c>
      <x:c r="F4" s="13" t="str">
        <x:v>Priority</x:v>
      </x:c>
      <x:c r="G4" s="13" t="str">
        <x:v>Target Day</x:v>
      </x:c>
      <x:c r="H4" s="13" t="str">
        <x:v>Status</x:v>
      </x:c>
      <x:c r="I4" s="13" t="str">
        <x:v>Acceptance</x:v>
      </x:c>
      <x:c r="J4" s="13" t="str">
        <x:v>Owner</x:v>
      </x:c>
      <x:c r="K4" s="13" t="str">
        <x:v>GitHub Issue</x:v>
      </x:c>
    </x:row>
    <x:row r="5" ht="31" customHeight="1">
      <x:c r="A5" s="24" t="str">
        <x:v>☐</x:v>
      </x:c>
      <x:c r="B5" s="20" t="str">
        <x:v>FIN-001</x:v>
      </x:c>
      <x:c r="C5" s="20" t="str">
        <x:v>V1</x:v>
      </x:c>
      <x:c r="D5" s="20" t="str">
        <x:v>Discovery &amp; product</x:v>
      </x:c>
      <x:c r="E5" s="20" t="str">
        <x:v>Define persona and measurable problem</x:v>
      </x:c>
      <x:c r="F5" s="20" t="str">
        <x:v>P0</x:v>
      </x:c>
      <x:c r="G5" s="20" t="str">
        <x:v>1</x:v>
      </x:c>
      <x:c r="H5" s="20" t="str">
        <x:v>Planned</x:v>
      </x:c>
      <x:c r="I5" s="20" t="str">
        <x:v>Signed-off V1 product brief with exclusions and success metrics</x:v>
      </x:c>
      <x:c r="J5" s="20" t="str">
        <x:v>Unassigned</x:v>
      </x:c>
      <x:c r="K5" s="20" t="str"/>
    </x:row>
    <x:row r="6" ht="31" customHeight="1">
      <x:c r="A6" s="24" t="str">
        <x:v>☐</x:v>
      </x:c>
      <x:c r="B6" s="20" t="str">
        <x:v>FIN-002</x:v>
      </x:c>
      <x:c r="C6" s="20" t="str">
        <x:v>V1</x:v>
      </x:c>
      <x:c r="D6" s="20" t="str">
        <x:v>Discovery &amp; product</x:v>
      </x:c>
      <x:c r="E6" s="20" t="str">
        <x:v>Customer discovery interviews</x:v>
      </x:c>
      <x:c r="F6" s="20" t="str">
        <x:v>P0</x:v>
      </x:c>
      <x:c r="G6" s="20" t="str">
        <x:v>1</x:v>
      </x:c>
      <x:c r="H6" s="20" t="str">
        <x:v>Planned</x:v>
      </x:c>
      <x:c r="I6" s="20" t="str">
        <x:v>At least 10 interviews summarized with evidence and insights</x:v>
      </x:c>
      <x:c r="J6" s="20" t="str">
        <x:v>Unassigned</x:v>
      </x:c>
      <x:c r="K6" s="20" t="str"/>
    </x:row>
    <x:row r="7" ht="31" customHeight="1">
      <x:c r="A7" s="24" t="str">
        <x:v>☐</x:v>
      </x:c>
      <x:c r="B7" s="20" t="str">
        <x:v>FIN-003</x:v>
      </x:c>
      <x:c r="C7" s="20" t="str">
        <x:v>V1</x:v>
      </x:c>
      <x:c r="D7" s="20" t="str">
        <x:v>Discovery &amp; product</x:v>
      </x:c>
      <x:c r="E7" s="20" t="str">
        <x:v>CA workflow discovery</x:v>
      </x:c>
      <x:c r="F7" s="20" t="str">
        <x:v>P0</x:v>
      </x:c>
      <x:c r="G7" s="20" t="str">
        <x:v>1</x:v>
      </x:c>
      <x:c r="H7" s="20" t="str">
        <x:v>Planned</x:v>
      </x:c>
      <x:c r="I7" s="20" t="str">
        <x:v>At least two professional workflow interviews documented</x:v>
      </x:c>
      <x:c r="J7" s="20" t="str">
        <x:v>Unassigned</x:v>
      </x:c>
      <x:c r="K7" s="20" t="str"/>
    </x:row>
    <x:row r="8" ht="31" customHeight="1">
      <x:c r="A8" s="24" t="str">
        <x:v>☐</x:v>
      </x:c>
      <x:c r="B8" s="20" t="str">
        <x:v>FIN-004</x:v>
      </x:c>
      <x:c r="C8" s="20" t="str">
        <x:v>V1</x:v>
      </x:c>
      <x:c r="D8" s="20" t="str">
        <x:v>Discovery &amp; product</x:v>
      </x:c>
      <x:c r="E8" s="20" t="str">
        <x:v>Competitor and pricing research</x:v>
      </x:c>
      <x:c r="F8" s="20" t="str">
        <x:v>P0</x:v>
      </x:c>
      <x:c r="G8" s="20" t="str">
        <x:v>1</x:v>
      </x:c>
      <x:c r="H8" s="20" t="str">
        <x:v>Planned</x:v>
      </x:c>
      <x:c r="I8" s="20" t="str">
        <x:v>Comparison and tested price hypotheses recorded</x:v>
      </x:c>
      <x:c r="J8" s="20" t="str">
        <x:v>Unassigned</x:v>
      </x:c>
      <x:c r="K8" s="20" t="str"/>
    </x:row>
    <x:row r="9" ht="31" customHeight="1">
      <x:c r="A9" s="24" t="str">
        <x:v>☐</x:v>
      </x:c>
      <x:c r="B9" s="20" t="str">
        <x:v>FIN-005</x:v>
      </x:c>
      <x:c r="C9" s="20" t="str">
        <x:v>V1</x:v>
      </x:c>
      <x:c r="D9" s="20" t="str">
        <x:v>Discovery &amp; product</x:v>
      </x:c>
      <x:c r="E9" s="20" t="str">
        <x:v>Brand configuration and rename policy</x:v>
      </x:c>
      <x:c r="F9" s="20" t="str">
        <x:v>P0</x:v>
      </x:c>
      <x:c r="G9" s="20" t="str">
        <x:v>1</x:v>
      </x:c>
      <x:c r="H9" s="20" t="str">
        <x:v>Planned</x:v>
      </x:c>
      <x:c r="I9" s="20" t="str">
        <x:v>Display name comes only from config and rebrand guide exists</x:v>
      </x:c>
      <x:c r="J9" s="20" t="str">
        <x:v>Unassigned</x:v>
      </x:c>
      <x:c r="K9" s="20" t="str"/>
    </x:row>
    <x:row r="10" ht="31" customHeight="1">
      <x:c r="A10" s="24" t="str">
        <x:v>☐</x:v>
      </x:c>
      <x:c r="B10" s="20" t="str">
        <x:v>FIN-006</x:v>
      </x:c>
      <x:c r="C10" s="20" t="str">
        <x:v>V1</x:v>
      </x:c>
      <x:c r="D10" s="20" t="str">
        <x:v>Discovery &amp; product</x:v>
      </x:c>
      <x:c r="E10" s="20" t="str">
        <x:v>Landing page and waitlist</x:v>
      </x:c>
      <x:c r="F10" s="20" t="str">
        <x:v>P0</x:v>
      </x:c>
      <x:c r="G10" s="20" t="str">
        <x:v>1</x:v>
      </x:c>
      <x:c r="H10" s="20" t="str">
        <x:v>Planned</x:v>
      </x:c>
      <x:c r="I10" s="20" t="str">
        <x:v>Privacy-conscious waitlist and signup flow works</x:v>
      </x:c>
      <x:c r="J10" s="20" t="str">
        <x:v>Unassigned</x:v>
      </x:c>
      <x:c r="K10" s="20" t="str"/>
    </x:row>
    <x:row r="11" ht="31" customHeight="1">
      <x:c r="A11" s="24" t="str">
        <x:v>☐</x:v>
      </x:c>
      <x:c r="B11" s="20" t="str">
        <x:v>FIN-007</x:v>
      </x:c>
      <x:c r="C11" s="20" t="str">
        <x:v>V1</x:v>
      </x:c>
      <x:c r="D11" s="20" t="str">
        <x:v>Discovery &amp; product</x:v>
      </x:c>
      <x:c r="E11" s="20" t="str">
        <x:v>Product acceptance criteria</x:v>
      </x:c>
      <x:c r="F11" s="20" t="str">
        <x:v>P0</x:v>
      </x:c>
      <x:c r="G11" s="20" t="str">
        <x:v>1</x:v>
      </x:c>
      <x:c r="H11" s="20" t="str">
        <x:v>Planned</x:v>
      </x:c>
      <x:c r="I11" s="20" t="str">
        <x:v>V1 functions have explicit pass/fail conditions</x:v>
      </x:c>
      <x:c r="J11" s="20" t="str">
        <x:v>Unassigned</x:v>
      </x:c>
      <x:c r="K11" s="20" t="str"/>
    </x:row>
    <x:row r="12" ht="31" customHeight="1">
      <x:c r="A12" s="24" t="str">
        <x:v>☐</x:v>
      </x:c>
      <x:c r="B12" s="20" t="str">
        <x:v>FIN-008</x:v>
      </x:c>
      <x:c r="C12" s="20" t="str">
        <x:v>V1</x:v>
      </x:c>
      <x:c r="D12" s="20" t="str">
        <x:v>Discovery &amp; product</x:v>
      </x:c>
      <x:c r="E12" s="20" t="str">
        <x:v>Risk register and decision log</x:v>
      </x:c>
      <x:c r="F12" s="20" t="str">
        <x:v>P0</x:v>
      </x:c>
      <x:c r="G12" s="20" t="str">
        <x:v>1</x:v>
      </x:c>
      <x:c r="H12" s="20" t="str">
        <x:v>Planned</x:v>
      </x:c>
      <x:c r="I12" s="20" t="str">
        <x:v>Major assumptions and risks have owners and follow-ups</x:v>
      </x:c>
      <x:c r="J12" s="20" t="str">
        <x:v>Unassigned</x:v>
      </x:c>
      <x:c r="K12" s="20" t="str"/>
    </x:row>
    <x:row r="13" ht="31" customHeight="1">
      <x:c r="A13" s="24" t="str">
        <x:v>☐</x:v>
      </x:c>
      <x:c r="B13" s="20" t="str">
        <x:v>FIN-009</x:v>
      </x:c>
      <x:c r="C13" s="20" t="str">
        <x:v>V1</x:v>
      </x:c>
      <x:c r="D13" s="20" t="str">
        <x:v>Identity &amp; onboarding</x:v>
      </x:c>
      <x:c r="E13" s="20" t="str">
        <x:v>Secure sign-up and login</x:v>
      </x:c>
      <x:c r="F13" s="20" t="str">
        <x:v>P0</x:v>
      </x:c>
      <x:c r="G13" s="20" t="str">
        <x:v>8</x:v>
      </x:c>
      <x:c r="H13" s="20" t="str">
        <x:v>Planned</x:v>
      </x:c>
      <x:c r="I13" s="20" t="str">
        <x:v>Signup, login and logout tested end to end</x:v>
      </x:c>
      <x:c r="J13" s="20" t="str">
        <x:v>Unassigned</x:v>
      </x:c>
      <x:c r="K13" s="20" t="str"/>
    </x:row>
    <x:row r="14" ht="31" customHeight="1">
      <x:c r="A14" s="24" t="str">
        <x:v>☐</x:v>
      </x:c>
      <x:c r="B14" s="20" t="str">
        <x:v>FIN-010</x:v>
      </x:c>
      <x:c r="C14" s="20" t="str">
        <x:v>V1</x:v>
      </x:c>
      <x:c r="D14" s="20" t="str">
        <x:v>Identity &amp; onboarding</x:v>
      </x:c>
      <x:c r="E14" s="20" t="str">
        <x:v>Verified email onboarding</x:v>
      </x:c>
      <x:c r="F14" s="20" t="str">
        <x:v>P0</x:v>
      </x:c>
      <x:c r="G14" s="20" t="str">
        <x:v>8</x:v>
      </x:c>
      <x:c r="H14" s="20" t="str">
        <x:v>Planned</x:v>
      </x:c>
      <x:c r="I14" s="20" t="str">
        <x:v>User email verification works</x:v>
      </x:c>
      <x:c r="J14" s="20" t="str">
        <x:v>Unassigned</x:v>
      </x:c>
      <x:c r="K14" s="20" t="str"/>
    </x:row>
    <x:row r="15" ht="31" customHeight="1">
      <x:c r="A15" s="24" t="str">
        <x:v>☐</x:v>
      </x:c>
      <x:c r="B15" s="20" t="str">
        <x:v>FIN-011</x:v>
      </x:c>
      <x:c r="C15" s="20" t="str">
        <x:v>V1</x:v>
      </x:c>
      <x:c r="D15" s="20" t="str">
        <x:v>Identity &amp; onboarding</x:v>
      </x:c>
      <x:c r="E15" s="20" t="str">
        <x:v>Password reset and session revocation</x:v>
      </x:c>
      <x:c r="F15" s="20" t="str">
        <x:v>P0</x:v>
      </x:c>
      <x:c r="G15" s="20" t="str">
        <x:v>8</x:v>
      </x:c>
      <x:c r="H15" s="20" t="str">
        <x:v>Planned</x:v>
      </x:c>
      <x:c r="I15" s="20" t="str">
        <x:v>Reset and revoked sessions cannot access accounts</x:v>
      </x:c>
      <x:c r="J15" s="20" t="str">
        <x:v>Unassigned</x:v>
      </x:c>
      <x:c r="K15" s="20" t="str"/>
    </x:row>
    <x:row r="16" ht="31" customHeight="1">
      <x:c r="A16" s="24" t="str">
        <x:v>☐</x:v>
      </x:c>
      <x:c r="B16" s="20" t="str">
        <x:v>FIN-012</x:v>
      </x:c>
      <x:c r="C16" s="20" t="str">
        <x:v>V1</x:v>
      </x:c>
      <x:c r="D16" s="20" t="str">
        <x:v>Identity &amp; onboarding</x:v>
      </x:c>
      <x:c r="E16" s="20" t="str">
        <x:v>Financial account profile</x:v>
      </x:c>
      <x:c r="F16" s="20" t="str">
        <x:v>P0</x:v>
      </x:c>
      <x:c r="G16" s="20" t="str">
        <x:v>8</x:v>
      </x:c>
      <x:c r="H16" s="20" t="str">
        <x:v>Planned</x:v>
      </x:c>
      <x:c r="I16" s="20" t="str">
        <x:v>User can create and manage owned bank/card account metadata</x:v>
      </x:c>
      <x:c r="J16" s="20" t="str">
        <x:v>Unassigned</x:v>
      </x:c>
      <x:c r="K16" s="20" t="str"/>
    </x:row>
    <x:row r="17" ht="31" customHeight="1">
      <x:c r="A17" s="24" t="str">
        <x:v>☐</x:v>
      </x:c>
      <x:c r="B17" s="20" t="str">
        <x:v>FIN-013</x:v>
      </x:c>
      <x:c r="C17" s="20" t="str">
        <x:v>V1</x:v>
      </x:c>
      <x:c r="D17" s="20" t="str">
        <x:v>Identity &amp; onboarding</x:v>
      </x:c>
      <x:c r="E17" s="20" t="str">
        <x:v>Income-type onboarding</x:v>
      </x:c>
      <x:c r="F17" s="20" t="str">
        <x:v>P0</x:v>
      </x:c>
      <x:c r="G17" s="20" t="str">
        <x:v>8</x:v>
      </x:c>
      <x:c r="H17" s="20" t="str">
        <x:v>Planned</x:v>
      </x:c>
      <x:c r="I17" s="20" t="str">
        <x:v>Salary, freelance, investment and other income types selected</x:v>
      </x:c>
      <x:c r="J17" s="20" t="str">
        <x:v>Unassigned</x:v>
      </x:c>
      <x:c r="K17" s="20" t="str"/>
    </x:row>
    <x:row r="18" ht="31" customHeight="1">
      <x:c r="A18" s="24" t="str">
        <x:v>☐</x:v>
      </x:c>
      <x:c r="B18" s="20" t="str">
        <x:v>FIN-014</x:v>
      </x:c>
      <x:c r="C18" s="20" t="str">
        <x:v>V1</x:v>
      </x:c>
      <x:c r="D18" s="20" t="str">
        <x:v>Identity &amp; onboarding</x:v>
      </x:c>
      <x:c r="E18" s="20" t="str">
        <x:v>Preferences and reporting timezone</x:v>
      </x:c>
      <x:c r="F18" s="20" t="str">
        <x:v>P0</x:v>
      </x:c>
      <x:c r="G18" s="20" t="str">
        <x:v>8</x:v>
      </x:c>
      <x:c r="H18" s="20" t="str">
        <x:v>Planned</x:v>
      </x:c>
      <x:c r="I18" s="20" t="str">
        <x:v>Reporting window and timezone persisted correctly</x:v>
      </x:c>
      <x:c r="J18" s="20" t="str">
        <x:v>Unassigned</x:v>
      </x:c>
      <x:c r="K18" s="20" t="str"/>
    </x:row>
    <x:row r="19" ht="31" customHeight="1">
      <x:c r="A19" s="24" t="str">
        <x:v>☐</x:v>
      </x:c>
      <x:c r="B19" s="20" t="str">
        <x:v>FIN-015</x:v>
      </x:c>
      <x:c r="C19" s="20" t="str">
        <x:v>V1</x:v>
      </x:c>
      <x:c r="D19" s="20" t="str">
        <x:v>Identity &amp; onboarding</x:v>
      </x:c>
      <x:c r="E19" s="20" t="str">
        <x:v>Sensitive session management</x:v>
      </x:c>
      <x:c r="F19" s="20" t="str">
        <x:v>P0</x:v>
      </x:c>
      <x:c r="G19" s="20" t="str">
        <x:v>8</x:v>
      </x:c>
      <x:c r="H19" s="20" t="str">
        <x:v>Planned</x:v>
      </x:c>
      <x:c r="I19" s="20" t="str">
        <x:v>Expired/revoked sessions are rejected server-side</x:v>
      </x:c>
      <x:c r="J19" s="20" t="str">
        <x:v>Unassigned</x:v>
      </x:c>
      <x:c r="K19" s="20" t="str"/>
    </x:row>
    <x:row r="20" ht="31" customHeight="1">
      <x:c r="A20" s="24" t="str">
        <x:v>☐</x:v>
      </x:c>
      <x:c r="B20" s="20" t="str">
        <x:v>FIN-016</x:v>
      </x:c>
      <x:c r="C20" s="20" t="str">
        <x:v>V1</x:v>
      </x:c>
      <x:c r="D20" s="20" t="str">
        <x:v>Identity &amp; onboarding</x:v>
      </x:c>
      <x:c r="E20" s="20" t="str">
        <x:v>Onboarding tutorial and empty states</x:v>
      </x:c>
      <x:c r="F20" s="20" t="str">
        <x:v>P0</x:v>
      </x:c>
      <x:c r="G20" s="20" t="str">
        <x:v>8</x:v>
      </x:c>
      <x:c r="H20" s="20" t="str">
        <x:v>Planned</x:v>
      </x:c>
      <x:c r="I20" s="20" t="str">
        <x:v>No-data users see correct next steps, not fake numbers</x:v>
      </x:c>
      <x:c r="J20" s="20" t="str">
        <x:v>Unassigned</x:v>
      </x:c>
      <x:c r="K20" s="20" t="str"/>
    </x:row>
    <x:row r="21" ht="31" customHeight="1">
      <x:c r="A21" s="24" t="str">
        <x:v>☐</x:v>
      </x:c>
      <x:c r="B21" s="20" t="str">
        <x:v>FIN-017</x:v>
      </x:c>
      <x:c r="C21" s="20" t="str">
        <x:v>V1</x:v>
      </x:c>
      <x:c r="D21" s="20" t="str">
        <x:v>Import &amp; document ingestion</x:v>
      </x:c>
      <x:c r="E21" s="20" t="str">
        <x:v>CSV import with column mapping</x:v>
      </x:c>
      <x:c r="F21" s="20" t="str">
        <x:v>P0</x:v>
      </x:c>
      <x:c r="G21" s="20" t="str">
        <x:v>14</x:v>
      </x:c>
      <x:c r="H21" s="20" t="str">
        <x:v>Planned</x:v>
      </x:c>
      <x:c r="I21" s="20" t="str">
        <x:v>Supported CSV imports with preview and schema checks</x:v>
      </x:c>
      <x:c r="J21" s="20" t="str">
        <x:v>Unassigned</x:v>
      </x:c>
      <x:c r="K21" s="20" t="str"/>
    </x:row>
    <x:row r="22" ht="31" customHeight="1">
      <x:c r="A22" s="24" t="str">
        <x:v>☐</x:v>
      </x:c>
      <x:c r="B22" s="20" t="str">
        <x:v>FIN-018</x:v>
      </x:c>
      <x:c r="C22" s="20" t="str">
        <x:v>V1</x:v>
      </x:c>
      <x:c r="D22" s="20" t="str">
        <x:v>Import &amp; document ingestion</x:v>
      </x:c>
      <x:c r="E22" s="20" t="str">
        <x:v>Money amount and debit-credit normalization</x:v>
      </x:c>
      <x:c r="F22" s="20" t="str">
        <x:v>P0</x:v>
      </x:c>
      <x:c r="G22" s="20" t="str">
        <x:v>14</x:v>
      </x:c>
      <x:c r="H22" s="20" t="str">
        <x:v>Planned</x:v>
      </x:c>
      <x:c r="I22" s="20" t="str">
        <x:v>Negative/positive and debit/credit variants normalized</x:v>
      </x:c>
      <x:c r="J22" s="20" t="str">
        <x:v>Unassigned</x:v>
      </x:c>
      <x:c r="K22" s="20" t="str"/>
    </x:row>
    <x:row r="23" ht="31" customHeight="1">
      <x:c r="A23" s="24" t="str">
        <x:v>☐</x:v>
      </x:c>
      <x:c r="B23" s="20" t="str">
        <x:v>FIN-019</x:v>
      </x:c>
      <x:c r="C23" s="20" t="str">
        <x:v>V1</x:v>
      </x:c>
      <x:c r="D23" s="20" t="str">
        <x:v>Import &amp; document ingestion</x:v>
      </x:c>
      <x:c r="E23" s="20" t="str">
        <x:v>Date parsing and timezone semantics</x:v>
      </x:c>
      <x:c r="F23" s="20" t="str">
        <x:v>P0</x:v>
      </x:c>
      <x:c r="G23" s="20" t="str">
        <x:v>14</x:v>
      </x:c>
      <x:c r="H23" s="20" t="str">
        <x:v>Planned</x:v>
      </x:c>
      <x:c r="I23" s="20" t="str">
        <x:v>Dates parsed consistently with stated date assumptions</x:v>
      </x:c>
      <x:c r="J23" s="20" t="str">
        <x:v>Unassigned</x:v>
      </x:c>
      <x:c r="K23" s="20" t="str"/>
    </x:row>
    <x:row r="24" ht="31" customHeight="1">
      <x:c r="A24" s="24" t="str">
        <x:v>☐</x:v>
      </x:c>
      <x:c r="B24" s="20" t="str">
        <x:v>FIN-020</x:v>
      </x:c>
      <x:c r="C24" s="20" t="str">
        <x:v>V1</x:v>
      </x:c>
      <x:c r="D24" s="20" t="str">
        <x:v>Import &amp; document ingestion</x:v>
      </x:c>
      <x:c r="E24" s="20" t="str">
        <x:v>Canonical statement model</x:v>
      </x:c>
      <x:c r="F24" s="20" t="str">
        <x:v>P0</x:v>
      </x:c>
      <x:c r="G24" s="20" t="str">
        <x:v>14</x:v>
      </x:c>
      <x:c r="H24" s="20" t="str">
        <x:v>Planned</x:v>
      </x:c>
      <x:c r="I24" s="20" t="str">
        <x:v>Each import preserves source, period and ownership</x:v>
      </x:c>
      <x:c r="J24" s="20" t="str">
        <x:v>Unassigned</x:v>
      </x:c>
      <x:c r="K24" s="20" t="str"/>
    </x:row>
    <x:row r="25" ht="31" customHeight="1">
      <x:c r="A25" s="24" t="str">
        <x:v>☐</x:v>
      </x:c>
      <x:c r="B25" s="20" t="str">
        <x:v>FIN-021</x:v>
      </x:c>
      <x:c r="C25" s="20" t="str">
        <x:v>V1</x:v>
      </x:c>
      <x:c r="D25" s="20" t="str">
        <x:v>Import &amp; document ingestion</x:v>
      </x:c>
      <x:c r="E25" s="20" t="str">
        <x:v>Import queue and progress indicator</x:v>
      </x:c>
      <x:c r="F25" s="20" t="str">
        <x:v>P0</x:v>
      </x:c>
      <x:c r="G25" s="20" t="str">
        <x:v>14</x:v>
      </x:c>
      <x:c r="H25" s="20" t="str">
        <x:v>Planned</x:v>
      </x:c>
      <x:c r="I25" s="20" t="str">
        <x:v>Async jobs show pending, success, partial failure and error</x:v>
      </x:c>
      <x:c r="J25" s="20" t="str">
        <x:v>Unassigned</x:v>
      </x:c>
      <x:c r="K25" s="20" t="str"/>
    </x:row>
    <x:row r="26" ht="31" customHeight="1">
      <x:c r="A26" s="24" t="str">
        <x:v>☐</x:v>
      </x:c>
      <x:c r="B26" s="20" t="str">
        <x:v>FIN-022</x:v>
      </x:c>
      <x:c r="C26" s="20" t="str">
        <x:v>V1</x:v>
      </x:c>
      <x:c r="D26" s="20" t="str">
        <x:v>Import &amp; document ingestion</x:v>
      </x:c>
      <x:c r="E26" s="20" t="str">
        <x:v>File type/size limits</x:v>
      </x:c>
      <x:c r="F26" s="20" t="str">
        <x:v>P0</x:v>
      </x:c>
      <x:c r="G26" s="20" t="str">
        <x:v>14</x:v>
      </x:c>
      <x:c r="H26" s="20" t="str">
        <x:v>Planned</x:v>
      </x:c>
      <x:c r="I26" s="20" t="str">
        <x:v>Unsupported or oversized files rejected safely</x:v>
      </x:c>
      <x:c r="J26" s="20" t="str">
        <x:v>Unassigned</x:v>
      </x:c>
      <x:c r="K26" s="20" t="str"/>
    </x:row>
    <x:row r="27" ht="31" customHeight="1">
      <x:c r="A27" s="24" t="str">
        <x:v>☐</x:v>
      </x:c>
      <x:c r="B27" s="20" t="str">
        <x:v>FIN-023</x:v>
      </x:c>
      <x:c r="C27" s="20" t="str">
        <x:v>V1</x:v>
      </x:c>
      <x:c r="D27" s="20" t="str">
        <x:v>Import &amp; document ingestion</x:v>
      </x:c>
      <x:c r="E27" s="20" t="str">
        <x:v>Secure upload and temporary download URLs</x:v>
      </x:c>
      <x:c r="F27" s="20" t="str">
        <x:v>P0</x:v>
      </x:c>
      <x:c r="G27" s="20" t="str">
        <x:v>14</x:v>
      </x:c>
      <x:c r="H27" s="20" t="str">
        <x:v>Planned</x:v>
      </x:c>
      <x:c r="I27" s="20" t="str">
        <x:v>Unauthorized users cannot read uploaded files</x:v>
      </x:c>
      <x:c r="J27" s="20" t="str">
        <x:v>Unassigned</x:v>
      </x:c>
      <x:c r="K27" s="20" t="str"/>
    </x:row>
    <x:row r="28" ht="31" customHeight="1">
      <x:c r="A28" s="24" t="str">
        <x:v>☐</x:v>
      </x:c>
      <x:c r="B28" s="20" t="str">
        <x:v>FIN-024</x:v>
      </x:c>
      <x:c r="C28" s="20" t="str">
        <x:v>V1</x:v>
      </x:c>
      <x:c r="D28" s="20" t="str">
        <x:v>Import &amp; document ingestion</x:v>
      </x:c>
      <x:c r="E28" s="20" t="str">
        <x:v>Password-protected PDFs handled safely</x:v>
      </x:c>
      <x:c r="F28" s="20" t="str">
        <x:v>P0</x:v>
      </x:c>
      <x:c r="G28" s="20" t="str">
        <x:v>14</x:v>
      </x:c>
      <x:c r="H28" s="20" t="str">
        <x:v>Planned</x:v>
      </x:c>
      <x:c r="I28" s="20" t="str">
        <x:v>Password is ephemeral and never logged or stored</x:v>
      </x:c>
      <x:c r="J28" s="20" t="str">
        <x:v>Unassigned</x:v>
      </x:c>
      <x:c r="K28" s="20" t="str"/>
    </x:row>
    <x:row r="29" ht="31" customHeight="1">
      <x:c r="A29" s="24" t="str">
        <x:v>☐</x:v>
      </x:c>
      <x:c r="B29" s="20" t="str">
        <x:v>FIN-025</x:v>
      </x:c>
      <x:c r="C29" s="20" t="str">
        <x:v>V1</x:v>
      </x:c>
      <x:c r="D29" s="20" t="str">
        <x:v>Import &amp; document ingestion</x:v>
      </x:c>
      <x:c r="E29" s="20" t="str">
        <x:v>PDF parser framework</x:v>
      </x:c>
      <x:c r="F29" s="20" t="str">
        <x:v>P0</x:v>
      </x:c>
      <x:c r="G29" s="20" t="str">
        <x:v>14</x:v>
      </x:c>
      <x:c r="H29" s="20" t="str">
        <x:v>Planned</x:v>
      </x:c>
      <x:c r="I29" s="20" t="str">
        <x:v>Bank-specific parser adapters run in isolated workflow</x:v>
      </x:c>
      <x:c r="J29" s="20" t="str">
        <x:v>Unassigned</x:v>
      </x:c>
      <x:c r="K29" s="20" t="str"/>
    </x:row>
    <x:row r="30" ht="31" customHeight="1">
      <x:c r="A30" s="24" t="str">
        <x:v>☐</x:v>
      </x:c>
      <x:c r="B30" s="20" t="str">
        <x:v>FIN-026</x:v>
      </x:c>
      <x:c r="C30" s="20" t="str">
        <x:v>V1</x:v>
      </x:c>
      <x:c r="D30" s="20" t="str">
        <x:v>Import &amp; document ingestion</x:v>
      </x:c>
      <x:c r="E30" s="20" t="str">
        <x:v>Supported bank PDF parser #1</x:v>
      </x:c>
      <x:c r="F30" s="20" t="str">
        <x:v>P0</x:v>
      </x:c>
      <x:c r="G30" s="20" t="str">
        <x:v>14</x:v>
      </x:c>
      <x:c r="H30" s="20" t="str">
        <x:v>Planned</x:v>
      </x:c>
      <x:c r="I30" s="20" t="str">
        <x:v>Confirmed fixture suite passes</x:v>
      </x:c>
      <x:c r="J30" s="20" t="str">
        <x:v>Unassigned</x:v>
      </x:c>
      <x:c r="K30" s="20" t="str"/>
    </x:row>
    <x:row r="31" ht="31" customHeight="1">
      <x:c r="A31" s="24" t="str">
        <x:v>☐</x:v>
      </x:c>
      <x:c r="B31" s="20" t="str">
        <x:v>FIN-027</x:v>
      </x:c>
      <x:c r="C31" s="20" t="str">
        <x:v>V1</x:v>
      </x:c>
      <x:c r="D31" s="20" t="str">
        <x:v>Import &amp; document ingestion</x:v>
      </x:c>
      <x:c r="E31" s="20" t="str">
        <x:v>Supported bank PDF parser #2</x:v>
      </x:c>
      <x:c r="F31" s="20" t="str">
        <x:v>P0</x:v>
      </x:c>
      <x:c r="G31" s="20" t="str">
        <x:v>14</x:v>
      </x:c>
      <x:c r="H31" s="20" t="str">
        <x:v>Planned</x:v>
      </x:c>
      <x:c r="I31" s="20" t="str">
        <x:v>Confirmed fixture suite passes</x:v>
      </x:c>
      <x:c r="J31" s="20" t="str">
        <x:v>Unassigned</x:v>
      </x:c>
      <x:c r="K31" s="20" t="str"/>
    </x:row>
    <x:row r="32" ht="31" customHeight="1">
      <x:c r="A32" s="24" t="str">
        <x:v>☐</x:v>
      </x:c>
      <x:c r="B32" s="20" t="str">
        <x:v>FIN-028</x:v>
      </x:c>
      <x:c r="C32" s="20" t="str">
        <x:v>V1</x:v>
      </x:c>
      <x:c r="D32" s="20" t="str">
        <x:v>Import &amp; document ingestion</x:v>
      </x:c>
      <x:c r="E32" s="20" t="str">
        <x:v>Supported card statement parser #1</x:v>
      </x:c>
      <x:c r="F32" s="20" t="str">
        <x:v>P0</x:v>
      </x:c>
      <x:c r="G32" s="20" t="str">
        <x:v>14</x:v>
      </x:c>
      <x:c r="H32" s="20" t="str">
        <x:v>Planned</x:v>
      </x:c>
      <x:c r="I32" s="20" t="str">
        <x:v>Credit-card purchases, repayments, fees and refunds classified</x:v>
      </x:c>
      <x:c r="J32" s="20" t="str">
        <x:v>Unassigned</x:v>
      </x:c>
      <x:c r="K32" s="20" t="str"/>
    </x:row>
    <x:row r="33" ht="31" customHeight="1">
      <x:c r="A33" s="24" t="str">
        <x:v>☐</x:v>
      </x:c>
      <x:c r="B33" s="20" t="str">
        <x:v>FIN-029</x:v>
      </x:c>
      <x:c r="C33" s="20" t="str">
        <x:v>V1</x:v>
      </x:c>
      <x:c r="D33" s="20" t="str">
        <x:v>Import &amp; document ingestion</x:v>
      </x:c>
      <x:c r="E33" s="20" t="str">
        <x:v>Manual import preview and confirmation</x:v>
      </x:c>
      <x:c r="F33" s="20" t="str">
        <x:v>P0</x:v>
      </x:c>
      <x:c r="G33" s="20" t="str">
        <x:v>14</x:v>
      </x:c>
      <x:c r="H33" s="20" t="str">
        <x:v>Planned</x:v>
      </x:c>
      <x:c r="I33" s="20" t="str">
        <x:v>Imported rows not persisted as final without validation path</x:v>
      </x:c>
      <x:c r="J33" s="20" t="str">
        <x:v>Unassigned</x:v>
      </x:c>
      <x:c r="K33" s="20" t="str"/>
    </x:row>
    <x:row r="34" ht="31" customHeight="1">
      <x:c r="A34" s="24" t="str">
        <x:v>☐</x:v>
      </x:c>
      <x:c r="B34" s="20" t="str">
        <x:v>FIN-030</x:v>
      </x:c>
      <x:c r="C34" s="20" t="str">
        <x:v>V1</x:v>
      </x:c>
      <x:c r="D34" s="20" t="str">
        <x:v>Import &amp; document ingestion</x:v>
      </x:c>
      <x:c r="E34" s="20" t="str">
        <x:v>Unsupported format guidance</x:v>
      </x:c>
      <x:c r="F34" s="20" t="str">
        <x:v>P0</x:v>
      </x:c>
      <x:c r="G34" s="20" t="str">
        <x:v>14</x:v>
      </x:c>
      <x:c r="H34" s="20" t="str">
        <x:v>Planned</x:v>
      </x:c>
      <x:c r="I34" s="20" t="str">
        <x:v>Clear fallbacks and support request available</x:v>
      </x:c>
      <x:c r="J34" s="20" t="str">
        <x:v>Unassigned</x:v>
      </x:c>
      <x:c r="K34" s="20" t="str"/>
    </x:row>
    <x:row r="35" ht="31" customHeight="1">
      <x:c r="A35" s="24" t="str">
        <x:v>☐</x:v>
      </x:c>
      <x:c r="B35" s="20" t="str">
        <x:v>FIN-031</x:v>
      </x:c>
      <x:c r="C35" s="20" t="str">
        <x:v>V1</x:v>
      </x:c>
      <x:c r="D35" s="20" t="str">
        <x:v>Import &amp; document ingestion</x:v>
      </x:c>
      <x:c r="E35" s="20" t="str">
        <x:v>Partial extraction warnings</x:v>
      </x:c>
      <x:c r="F35" s="20" t="str">
        <x:v>P0</x:v>
      </x:c>
      <x:c r="G35" s="20" t="str">
        <x:v>14</x:v>
      </x:c>
      <x:c r="H35" s="20" t="str">
        <x:v>Planned</x:v>
      </x:c>
      <x:c r="I35" s="20" t="str">
        <x:v>Missing pages/rows are surfaced explicitly</x:v>
      </x:c>
      <x:c r="J35" s="20" t="str">
        <x:v>Unassigned</x:v>
      </x:c>
      <x:c r="K35" s="20" t="str"/>
    </x:row>
    <x:row r="36" ht="31" customHeight="1">
      <x:c r="A36" s="24" t="str">
        <x:v>☐</x:v>
      </x:c>
      <x:c r="B36" s="20" t="str">
        <x:v>FIN-032</x:v>
      </x:c>
      <x:c r="C36" s="20" t="str">
        <x:v>V1</x:v>
      </x:c>
      <x:c r="D36" s="20" t="str">
        <x:v>Import &amp; document ingestion</x:v>
      </x:c>
      <x:c r="E36" s="20" t="str">
        <x:v>Statement reconciliation</x:v>
      </x:c>
      <x:c r="F36" s="20" t="str">
        <x:v>P0</x:v>
      </x:c>
      <x:c r="G36" s="20" t="str">
        <x:v>14</x:v>
      </x:c>
      <x:c r="H36" s="20" t="str">
        <x:v>Planned</x:v>
      </x:c>
      <x:c r="I36" s="20" t="str">
        <x:v>Where balances exist, integrity checks flag discrepancies</x:v>
      </x:c>
      <x:c r="J36" s="20" t="str">
        <x:v>Unassigned</x:v>
      </x:c>
      <x:c r="K36" s="20" t="str"/>
    </x:row>
    <x:row r="37" ht="31" customHeight="1">
      <x:c r="A37" s="24" t="str">
        <x:v>☐</x:v>
      </x:c>
      <x:c r="B37" s="20" t="str">
        <x:v>FIN-033</x:v>
      </x:c>
      <x:c r="C37" s="20" t="str">
        <x:v>V1</x:v>
      </x:c>
      <x:c r="D37" s="20" t="str">
        <x:v>Import &amp; document ingestion</x:v>
      </x:c>
      <x:c r="E37" s="20" t="str">
        <x:v>Re-import and overlap handling</x:v>
      </x:c>
      <x:c r="F37" s="20" t="str">
        <x:v>P0</x:v>
      </x:c>
      <x:c r="G37" s="20" t="str">
        <x:v>14</x:v>
      </x:c>
      <x:c r="H37" s="20" t="str">
        <x:v>Planned</x:v>
      </x:c>
      <x:c r="I37" s="20" t="str">
        <x:v>Re-import does not double-count rows</x:v>
      </x:c>
      <x:c r="J37" s="20" t="str">
        <x:v>Unassigned</x:v>
      </x:c>
      <x:c r="K37" s="20" t="str"/>
    </x:row>
    <x:row r="38" ht="31" customHeight="1">
      <x:c r="A38" s="24" t="str">
        <x:v>☐</x:v>
      </x:c>
      <x:c r="B38" s="20" t="str">
        <x:v>FIN-034</x:v>
      </x:c>
      <x:c r="C38" s="20" t="str">
        <x:v>V1</x:v>
      </x:c>
      <x:c r="D38" s="20" t="str">
        <x:v>Import &amp; document ingestion</x:v>
      </x:c>
      <x:c r="E38" s="20" t="str">
        <x:v>Raw source traceability</x:v>
      </x:c>
      <x:c r="F38" s="20" t="str">
        <x:v>P0</x:v>
      </x:c>
      <x:c r="G38" s="20" t="str">
        <x:v>14</x:v>
      </x:c>
      <x:c r="H38" s="20" t="str">
        <x:v>Planned</x:v>
      </x:c>
      <x:c r="I38" s="20" t="str">
        <x:v>Every transaction links to source statement reference</x:v>
      </x:c>
      <x:c r="J38" s="20" t="str">
        <x:v>Unassigned</x:v>
      </x:c>
      <x:c r="K38" s="20" t="str"/>
    </x:row>
    <x:row r="39" ht="31" customHeight="1">
      <x:c r="A39" s="24" t="str">
        <x:v>☐</x:v>
      </x:c>
      <x:c r="B39" s="20" t="str">
        <x:v>FIN-035</x:v>
      </x:c>
      <x:c r="C39" s="20" t="str">
        <x:v>V1</x:v>
      </x:c>
      <x:c r="D39" s="20" t="str">
        <x:v>Transaction data quality</x:v>
      </x:c>
      <x:c r="E39" s="20" t="str">
        <x:v>Normalized transaction ledger</x:v>
      </x:c>
      <x:c r="F39" s="20" t="str">
        <x:v>P0</x:v>
      </x:c>
      <x:c r="G39" s="20" t="str">
        <x:v>19</x:v>
      </x:c>
      <x:c r="H39" s="20" t="str">
        <x:v>Planned</x:v>
      </x:c>
      <x:c r="I39" s="20" t="str">
        <x:v>Decimal amount, account and source metadata stored</x:v>
      </x:c>
      <x:c r="J39" s="20" t="str">
        <x:v>Unassigned</x:v>
      </x:c>
      <x:c r="K39" s="20" t="str"/>
    </x:row>
    <x:row r="40" ht="31" customHeight="1">
      <x:c r="A40" s="24" t="str">
        <x:v>☐</x:v>
      </x:c>
      <x:c r="B40" s="20" t="str">
        <x:v>FIN-036</x:v>
      </x:c>
      <x:c r="C40" s="20" t="str">
        <x:v>V1</x:v>
      </x:c>
      <x:c r="D40" s="20" t="str">
        <x:v>Transaction data quality</x:v>
      </x:c>
      <x:c r="E40" s="20" t="str">
        <x:v>Deterministic merchant recognition</x:v>
      </x:c>
      <x:c r="F40" s="20" t="str">
        <x:v>P0</x:v>
      </x:c>
      <x:c r="G40" s="20" t="str">
        <x:v>19</x:v>
      </x:c>
      <x:c r="H40" s="20" t="str">
        <x:v>Planned</x:v>
      </x:c>
      <x:c r="I40" s="20" t="str">
        <x:v>Merchant rules identify common narrations</x:v>
      </x:c>
      <x:c r="J40" s="20" t="str">
        <x:v>Unassigned</x:v>
      </x:c>
      <x:c r="K40" s="20" t="str"/>
    </x:row>
    <x:row r="41" ht="31" customHeight="1">
      <x:c r="A41" s="24" t="str">
        <x:v>☐</x:v>
      </x:c>
      <x:c r="B41" s="20" t="str">
        <x:v>FIN-037</x:v>
      </x:c>
      <x:c r="C41" s="20" t="str">
        <x:v>V1</x:v>
      </x:c>
      <x:c r="D41" s="20" t="str">
        <x:v>Transaction data quality</x:v>
      </x:c>
      <x:c r="E41" s="20" t="str">
        <x:v>Rules-first categorization engine</x:v>
      </x:c>
      <x:c r="F41" s="20" t="str">
        <x:v>P0</x:v>
      </x:c>
      <x:c r="G41" s="20" t="str">
        <x:v>19</x:v>
      </x:c>
      <x:c r="H41" s="20" t="str">
        <x:v>Planned</x:v>
      </x:c>
      <x:c r="I41" s="20" t="str">
        <x:v>Transparent category decisions for known patterns</x:v>
      </x:c>
      <x:c r="J41" s="20" t="str">
        <x:v>Unassigned</x:v>
      </x:c>
      <x:c r="K41" s="20" t="str"/>
    </x:row>
    <x:row r="42" ht="31" customHeight="1">
      <x:c r="A42" s="24" t="str">
        <x:v>☐</x:v>
      </x:c>
      <x:c r="B42" s="20" t="str">
        <x:v>FIN-038</x:v>
      </x:c>
      <x:c r="C42" s="20" t="str">
        <x:v>V1</x:v>
      </x:c>
      <x:c r="D42" s="20" t="str">
        <x:v>Transaction data quality</x:v>
      </x:c>
      <x:c r="E42" s="20" t="str">
        <x:v>User transaction editing</x:v>
      </x:c>
      <x:c r="F42" s="20" t="str">
        <x:v>P0</x:v>
      </x:c>
      <x:c r="G42" s="20" t="str">
        <x:v>19</x:v>
      </x:c>
      <x:c r="H42" s="20" t="str">
        <x:v>Planned</x:v>
      </x:c>
      <x:c r="I42" s="20" t="str">
        <x:v>Manual edits persist and show audit history</x:v>
      </x:c>
      <x:c r="J42" s="20" t="str">
        <x:v>Unassigned</x:v>
      </x:c>
      <x:c r="K42" s="20" t="str"/>
    </x:row>
    <x:row r="43" ht="31" customHeight="1">
      <x:c r="A43" s="24" t="str">
        <x:v>☐</x:v>
      </x:c>
      <x:c r="B43" s="20" t="str">
        <x:v>FIN-039</x:v>
      </x:c>
      <x:c r="C43" s="20" t="str">
        <x:v>V1</x:v>
      </x:c>
      <x:c r="D43" s="20" t="str">
        <x:v>Transaction data quality</x:v>
      </x:c>
      <x:c r="E43" s="20" t="str">
        <x:v>User-defined category rules</x:v>
      </x:c>
      <x:c r="F43" s="20" t="str">
        <x:v>P0</x:v>
      </x:c>
      <x:c r="G43" s="20" t="str">
        <x:v>19</x:v>
      </x:c>
      <x:c r="H43" s="20" t="str">
        <x:v>Planned</x:v>
      </x:c>
      <x:c r="I43" s="20" t="str">
        <x:v>Repeated merchant fixes become scoped rules</x:v>
      </x:c>
      <x:c r="J43" s="20" t="str">
        <x:v>Unassigned</x:v>
      </x:c>
      <x:c r="K43" s="20" t="str"/>
    </x:row>
    <x:row r="44" ht="31" customHeight="1">
      <x:c r="A44" s="24" t="str">
        <x:v>☐</x:v>
      </x:c>
      <x:c r="B44" s="20" t="str">
        <x:v>FIN-040</x:v>
      </x:c>
      <x:c r="C44" s="20" t="str">
        <x:v>V1</x:v>
      </x:c>
      <x:c r="D44" s="20" t="str">
        <x:v>Transaction data quality</x:v>
      </x:c>
      <x:c r="E44" s="20" t="str">
        <x:v>Internal transfer candidate matching</x:v>
      </x:c>
      <x:c r="F44" s="20" t="str">
        <x:v>P0</x:v>
      </x:c>
      <x:c r="G44" s="20" t="str">
        <x:v>19</x:v>
      </x:c>
      <x:c r="H44" s="20" t="str">
        <x:v>Planned</x:v>
      </x:c>
      <x:c r="I44" s="20" t="str">
        <x:v>Own-account transfers are not counted as income/spend</x:v>
      </x:c>
      <x:c r="J44" s="20" t="str">
        <x:v>Unassigned</x:v>
      </x:c>
      <x:c r="K44" s="20" t="str"/>
    </x:row>
    <x:row r="45" ht="31" customHeight="1">
      <x:c r="A45" s="24" t="str">
        <x:v>☐</x:v>
      </x:c>
      <x:c r="B45" s="20" t="str">
        <x:v>FIN-041</x:v>
      </x:c>
      <x:c r="C45" s="20" t="str">
        <x:v>V1</x:v>
      </x:c>
      <x:c r="D45" s="20" t="str">
        <x:v>Transaction data quality</x:v>
      </x:c>
      <x:c r="E45" s="20" t="str">
        <x:v>Refund and reversal detection</x:v>
      </x:c>
      <x:c r="F45" s="20" t="str">
        <x:v>P0</x:v>
      </x:c>
      <x:c r="G45" s="20" t="str">
        <x:v>19</x:v>
      </x:c>
      <x:c r="H45" s="20" t="str">
        <x:v>Planned</x:v>
      </x:c>
      <x:c r="I45" s="20" t="str">
        <x:v>Refunds reverse appropriate spending without fake income</x:v>
      </x:c>
      <x:c r="J45" s="20" t="str">
        <x:v>Unassigned</x:v>
      </x:c>
      <x:c r="K45" s="20" t="str"/>
    </x:row>
    <x:row r="46" ht="31" customHeight="1">
      <x:c r="A46" s="24" t="str">
        <x:v>☐</x:v>
      </x:c>
      <x:c r="B46" s="20" t="str">
        <x:v>FIN-042</x:v>
      </x:c>
      <x:c r="C46" s="20" t="str">
        <x:v>V1</x:v>
      </x:c>
      <x:c r="D46" s="20" t="str">
        <x:v>Transaction data quality</x:v>
      </x:c>
      <x:c r="E46" s="20" t="str">
        <x:v>Credit-card repayment treatment</x:v>
      </x:c>
      <x:c r="F46" s="20" t="str">
        <x:v>P0</x:v>
      </x:c>
      <x:c r="G46" s="20" t="str">
        <x:v>19</x:v>
      </x:c>
      <x:c r="H46" s="20" t="str">
        <x:v>Planned</x:v>
      </x:c>
      <x:c r="I46" s="20" t="str">
        <x:v>Bank-to-card repayments don't inflate spending</x:v>
      </x:c>
      <x:c r="J46" s="20" t="str">
        <x:v>Unassigned</x:v>
      </x:c>
      <x:c r="K46" s="20" t="str"/>
    </x:row>
    <x:row r="47" ht="31" customHeight="1">
      <x:c r="A47" s="24" t="str">
        <x:v>☐</x:v>
      </x:c>
      <x:c r="B47" s="20" t="str">
        <x:v>FIN-043</x:v>
      </x:c>
      <x:c r="C47" s="20" t="str">
        <x:v>V1</x:v>
      </x:c>
      <x:c r="D47" s="20" t="str">
        <x:v>Transaction data quality</x:v>
      </x:c>
      <x:c r="E47" s="20" t="str">
        <x:v>Duplicate row identification</x:v>
      </x:c>
      <x:c r="F47" s="20" t="str">
        <x:v>P0</x:v>
      </x:c>
      <x:c r="G47" s="20" t="str">
        <x:v>19</x:v>
      </x:c>
      <x:c r="H47" s="20" t="str">
        <x:v>Planned</x:v>
      </x:c>
      <x:c r="I47" s="20" t="str">
        <x:v>Same rows are ignored on overlapping uploads</x:v>
      </x:c>
      <x:c r="J47" s="20" t="str">
        <x:v>Unassigned</x:v>
      </x:c>
      <x:c r="K47" s="20" t="str"/>
    </x:row>
    <x:row r="48" ht="31" customHeight="1">
      <x:c r="A48" s="24" t="str">
        <x:v>☐</x:v>
      </x:c>
      <x:c r="B48" s="20" t="str">
        <x:v>FIN-044</x:v>
      </x:c>
      <x:c r="C48" s="20" t="str">
        <x:v>V1</x:v>
      </x:c>
      <x:c r="D48" s="20" t="str">
        <x:v>Transaction data quality</x:v>
      </x:c>
      <x:c r="E48" s="20" t="str">
        <x:v>Uncertain classification queue</x:v>
      </x:c>
      <x:c r="F48" s="20" t="str">
        <x:v>P0</x:v>
      </x:c>
      <x:c r="G48" s="20" t="str">
        <x:v>19</x:v>
      </x:c>
      <x:c r="H48" s="20" t="str">
        <x:v>Planned</x:v>
      </x:c>
      <x:c r="I48" s="20" t="str">
        <x:v>Low-confidence classifications require user review</x:v>
      </x:c>
      <x:c r="J48" s="20" t="str">
        <x:v>Unassigned</x:v>
      </x:c>
      <x:c r="K48" s="20" t="str"/>
    </x:row>
    <x:row r="49" ht="31" customHeight="1">
      <x:c r="A49" s="24" t="str">
        <x:v>☐</x:v>
      </x:c>
      <x:c r="B49" s="20" t="str">
        <x:v>FIN-045</x:v>
      </x:c>
      <x:c r="C49" s="20" t="str">
        <x:v>V1</x:v>
      </x:c>
      <x:c r="D49" s="20" t="str">
        <x:v>Transaction data quality</x:v>
      </x:c>
      <x:c r="E49" s="20" t="str">
        <x:v>Transaction classification provenance</x:v>
      </x:c>
      <x:c r="F49" s="20" t="str">
        <x:v>P0</x:v>
      </x:c>
      <x:c r="G49" s="20" t="str">
        <x:v>19</x:v>
      </x:c>
      <x:c r="H49" s="20" t="str">
        <x:v>Planned</x:v>
      </x:c>
      <x:c r="I49" s="20" t="str">
        <x:v>Original text and reason/confidence retained</x:v>
      </x:c>
      <x:c r="J49" s="20" t="str">
        <x:v>Unassigned</x:v>
      </x:c>
      <x:c r="K49" s="20" t="str"/>
    </x:row>
    <x:row r="50" ht="31" customHeight="1">
      <x:c r="A50" s="24" t="str">
        <x:v>☐</x:v>
      </x:c>
      <x:c r="B50" s="20" t="str">
        <x:v>FIN-046</x:v>
      </x:c>
      <x:c r="C50" s="20" t="str">
        <x:v>V1</x:v>
      </x:c>
      <x:c r="D50" s="20" t="str">
        <x:v>Transaction data quality</x:v>
      </x:c>
      <x:c r="E50" s="20" t="str">
        <x:v>Transaction correction undo</x:v>
      </x:c>
      <x:c r="F50" s="20" t="str">
        <x:v>P0</x:v>
      </x:c>
      <x:c r="G50" s="20" t="str">
        <x:v>19</x:v>
      </x:c>
      <x:c r="H50" s="20" t="str">
        <x:v>Planned</x:v>
      </x:c>
      <x:c r="I50" s="20" t="str">
        <x:v>User can reverse a mistaken category edit</x:v>
      </x:c>
      <x:c r="J50" s="20" t="str">
        <x:v>Unassigned</x:v>
      </x:c>
      <x:c r="K50" s="20" t="str"/>
    </x:row>
    <x:row r="51" ht="31" customHeight="1">
      <x:c r="A51" s="24" t="str">
        <x:v>☐</x:v>
      </x:c>
      <x:c r="B51" s="20" t="str">
        <x:v>FIN-047</x:v>
      </x:c>
      <x:c r="C51" s="20" t="str">
        <x:v>V1</x:v>
      </x:c>
      <x:c r="D51" s="20" t="str">
        <x:v>Transaction data quality</x:v>
      </x:c>
      <x:c r="E51" s="20" t="str">
        <x:v>Source totals mismatch handling</x:v>
      </x:c>
      <x:c r="F51" s="20" t="str">
        <x:v>P0</x:v>
      </x:c>
      <x:c r="G51" s="20" t="str">
        <x:v>19</x:v>
      </x:c>
      <x:c r="H51" s="20" t="str">
        <x:v>Planned</x:v>
      </x:c>
      <x:c r="I51" s="20" t="str">
        <x:v>Reports show unreconciled data warnings</x:v>
      </x:c>
      <x:c r="J51" s="20" t="str">
        <x:v>Unassigned</x:v>
      </x:c>
      <x:c r="K51" s="20" t="str"/>
    </x:row>
    <x:row r="52" ht="31" customHeight="1">
      <x:c r="A52" s="24" t="str">
        <x:v>☐</x:v>
      </x:c>
      <x:c r="B52" s="20" t="str">
        <x:v>FIN-048</x:v>
      </x:c>
      <x:c r="C52" s="20" t="str">
        <x:v>V1</x:v>
      </x:c>
      <x:c r="D52" s="20" t="str">
        <x:v>Financial calculations &amp; dashboard</x:v>
      </x:c>
      <x:c r="E52" s="20" t="str">
        <x:v>Income and actual spending rules</x:v>
      </x:c>
      <x:c r="F52" s="20" t="str">
        <x:v>P0</x:v>
      </x:c>
      <x:c r="G52" s="20" t="str">
        <x:v>33</x:v>
      </x:c>
      <x:c r="H52" s="20" t="str">
        <x:v>Planned</x:v>
      </x:c>
      <x:c r="I52" s="20" t="str">
        <x:v>Salary, refund, investments and transfer separation validated</x:v>
      </x:c>
      <x:c r="J52" s="20" t="str">
        <x:v>Unassigned</x:v>
      </x:c>
      <x:c r="K52" s="20" t="str"/>
    </x:row>
    <x:row r="53" ht="31" customHeight="1">
      <x:c r="A53" s="24" t="str">
        <x:v>☐</x:v>
      </x:c>
      <x:c r="B53" s="20" t="str">
        <x:v>FIN-049</x:v>
      </x:c>
      <x:c r="C53" s="20" t="str">
        <x:v>V1</x:v>
      </x:c>
      <x:c r="D53" s="20" t="str">
        <x:v>Financial calculations &amp; dashboard</x:v>
      </x:c>
      <x:c r="E53" s="20" t="str">
        <x:v>Month-by-month cash flow</x:v>
      </x:c>
      <x:c r="F53" s="20" t="str">
        <x:v>P0</x:v>
      </x:c>
      <x:c r="G53" s="20" t="str">
        <x:v>33</x:v>
      </x:c>
      <x:c r="H53" s="20" t="str">
        <x:v>Planned</x:v>
      </x:c>
      <x:c r="I53" s="20" t="str">
        <x:v>Correct monthly inflows/outflows shown by account/period</x:v>
      </x:c>
      <x:c r="J53" s="20" t="str">
        <x:v>Unassigned</x:v>
      </x:c>
      <x:c r="K53" s="20" t="str"/>
    </x:row>
    <x:row r="54" ht="31" customHeight="1">
      <x:c r="A54" s="24" t="str">
        <x:v>☐</x:v>
      </x:c>
      <x:c r="B54" s="20" t="str">
        <x:v>FIN-050</x:v>
      </x:c>
      <x:c r="C54" s="20" t="str">
        <x:v>V1</x:v>
      </x:c>
      <x:c r="D54" s="20" t="str">
        <x:v>Financial calculations &amp; dashboard</x:v>
      </x:c>
      <x:c r="E54" s="20" t="str">
        <x:v>Investment-contribution metric</x:v>
      </x:c>
      <x:c r="F54" s="20" t="str">
        <x:v>P0</x:v>
      </x:c>
      <x:c r="G54" s="20" t="str">
        <x:v>33</x:v>
      </x:c>
      <x:c r="H54" s="20" t="str">
        <x:v>Planned</x:v>
      </x:c>
      <x:c r="I54" s="20" t="str">
        <x:v>Investments tracked separately from consumption spending</x:v>
      </x:c>
      <x:c r="J54" s="20" t="str">
        <x:v>Unassigned</x:v>
      </x:c>
      <x:c r="K54" s="20" t="str"/>
    </x:row>
    <x:row r="55" ht="31" customHeight="1">
      <x:c r="A55" s="24" t="str">
        <x:v>☐</x:v>
      </x:c>
      <x:c r="B55" s="20" t="str">
        <x:v>FIN-051</x:v>
      </x:c>
      <x:c r="C55" s="20" t="str">
        <x:v>V1</x:v>
      </x:c>
      <x:c r="D55" s="20" t="str">
        <x:v>Financial calculations &amp; dashboard</x:v>
      </x:c>
      <x:c r="E55" s="20" t="str">
        <x:v>Category breakdowns</x:v>
      </x:c>
      <x:c r="F55" s="20" t="str">
        <x:v>P0</x:v>
      </x:c>
      <x:c r="G55" s="20" t="str">
        <x:v>33</x:v>
      </x:c>
      <x:c r="H55" s="20" t="str">
        <x:v>Planned</x:v>
      </x:c>
      <x:c r="I55" s="20" t="str">
        <x:v>Charts match canonical transactions</x:v>
      </x:c>
      <x:c r="J55" s="20" t="str">
        <x:v>Unassigned</x:v>
      </x:c>
      <x:c r="K55" s="20" t="str"/>
    </x:row>
    <x:row r="56" ht="31" customHeight="1">
      <x:c r="A56" s="24" t="str">
        <x:v>☐</x:v>
      </x:c>
      <x:c r="B56" s="20" t="str">
        <x:v>FIN-052</x:v>
      </x:c>
      <x:c r="C56" s="20" t="str">
        <x:v>V1</x:v>
      </x:c>
      <x:c r="D56" s="20" t="str">
        <x:v>Financial calculations &amp; dashboard</x:v>
      </x:c>
      <x:c r="E56" s="20" t="str">
        <x:v>Merchant breakdowns</x:v>
      </x:c>
      <x:c r="F56" s="20" t="str">
        <x:v>P0</x:v>
      </x:c>
      <x:c r="G56" s="20" t="str">
        <x:v>33</x:v>
      </x:c>
      <x:c r="H56" s="20" t="str">
        <x:v>Planned</x:v>
      </x:c>
      <x:c r="I56" s="20" t="str">
        <x:v>Merchant totals trace back to rows</x:v>
      </x:c>
      <x:c r="J56" s="20" t="str">
        <x:v>Unassigned</x:v>
      </x:c>
      <x:c r="K56" s="20" t="str"/>
    </x:row>
    <x:row r="57" ht="31" customHeight="1">
      <x:c r="A57" s="24" t="str">
        <x:v>☐</x:v>
      </x:c>
      <x:c r="B57" s="20" t="str">
        <x:v>FIN-053</x:v>
      </x:c>
      <x:c r="C57" s="20" t="str">
        <x:v>V1</x:v>
      </x:c>
      <x:c r="D57" s="20" t="str">
        <x:v>Financial calculations &amp; dashboard</x:v>
      </x:c>
      <x:c r="E57" s="20" t="str">
        <x:v>Cross-account summary</x:v>
      </x:c>
      <x:c r="F57" s="20" t="str">
        <x:v>P0</x:v>
      </x:c>
      <x:c r="G57" s="20" t="str">
        <x:v>33</x:v>
      </x:c>
      <x:c r="H57" s="20" t="str">
        <x:v>Planned</x:v>
      </x:c>
      <x:c r="I57" s="20" t="str">
        <x:v>Combined view excludes internal transfer double count</x:v>
      </x:c>
      <x:c r="J57" s="20" t="str">
        <x:v>Unassigned</x:v>
      </x:c>
      <x:c r="K57" s="20" t="str"/>
    </x:row>
    <x:row r="58" ht="31" customHeight="1">
      <x:c r="A58" s="24" t="str">
        <x:v>☐</x:v>
      </x:c>
      <x:c r="B58" s="20" t="str">
        <x:v>FIN-054</x:v>
      </x:c>
      <x:c r="C58" s="20" t="str">
        <x:v>V1</x:v>
      </x:c>
      <x:c r="D58" s="20" t="str">
        <x:v>Financial calculations &amp; dashboard</x:v>
      </x:c>
      <x:c r="E58" s="20" t="str">
        <x:v>Time-period and account filters</x:v>
      </x:c>
      <x:c r="F58" s="20" t="str">
        <x:v>P0</x:v>
      </x:c>
      <x:c r="G58" s="20" t="str">
        <x:v>33</x:v>
      </x:c>
      <x:c r="H58" s="20" t="str">
        <x:v>Planned</x:v>
      </x:c>
      <x:c r="I58" s="20" t="str">
        <x:v>All analytics respect selected filters</x:v>
      </x:c>
      <x:c r="J58" s="20" t="str">
        <x:v>Unassigned</x:v>
      </x:c>
      <x:c r="K58" s="20" t="str"/>
    </x:row>
    <x:row r="59" ht="31" customHeight="1">
      <x:c r="A59" s="24" t="str">
        <x:v>☐</x:v>
      </x:c>
      <x:c r="B59" s="20" t="str">
        <x:v>FIN-055</x:v>
      </x:c>
      <x:c r="C59" s="20" t="str">
        <x:v>V1</x:v>
      </x:c>
      <x:c r="D59" s="20" t="str">
        <x:v>Financial calculations &amp; dashboard</x:v>
      </x:c>
      <x:c r="E59" s="20" t="str">
        <x:v>Historical comparison</x:v>
      </x:c>
      <x:c r="F59" s="20" t="str">
        <x:v>P0</x:v>
      </x:c>
      <x:c r="G59" s="20" t="str">
        <x:v>33</x:v>
      </x:c>
      <x:c r="H59" s="20" t="str">
        <x:v>Planned</x:v>
      </x:c>
      <x:c r="I59" s="20" t="str">
        <x:v>Period-on-period comparison uses comparable coverage</x:v>
      </x:c>
      <x:c r="J59" s="20" t="str">
        <x:v>Unassigned</x:v>
      </x:c>
      <x:c r="K59" s="20" t="str"/>
    </x:row>
    <x:row r="60" ht="31" customHeight="1">
      <x:c r="A60" s="24" t="str">
        <x:v>☐</x:v>
      </x:c>
      <x:c r="B60" s="20" t="str">
        <x:v>FIN-056</x:v>
      </x:c>
      <x:c r="C60" s="20" t="str">
        <x:v>V1</x:v>
      </x:c>
      <x:c r="D60" s="20" t="str">
        <x:v>Financial calculations &amp; dashboard</x:v>
      </x:c>
      <x:c r="E60" s="20" t="str">
        <x:v>Data coverage/freshness warnings</x:v>
      </x:c>
      <x:c r="F60" s="20" t="str">
        <x:v>P0</x:v>
      </x:c>
      <x:c r="G60" s="20" t="str">
        <x:v>33</x:v>
      </x:c>
      <x:c r="H60" s="20" t="str">
        <x:v>Planned</x:v>
      </x:c>
      <x:c r="I60" s="20" t="str">
        <x:v>Last import and missing statement periods shown</x:v>
      </x:c>
      <x:c r="J60" s="20" t="str">
        <x:v>Unassigned</x:v>
      </x:c>
      <x:c r="K60" s="20" t="str"/>
    </x:row>
    <x:row r="61" ht="31" customHeight="1">
      <x:c r="A61" s="24" t="str">
        <x:v>☐</x:v>
      </x:c>
      <x:c r="B61" s="20" t="str">
        <x:v>FIN-057</x:v>
      </x:c>
      <x:c r="C61" s="20" t="str">
        <x:v>V1</x:v>
      </x:c>
      <x:c r="D61" s="20" t="str">
        <x:v>Financial calculations &amp; dashboard</x:v>
      </x:c>
      <x:c r="E61" s="20" t="str">
        <x:v>Transaction drill-down</x:v>
      </x:c>
      <x:c r="F61" s="20" t="str">
        <x:v>P0</x:v>
      </x:c>
      <x:c r="G61" s="20" t="str">
        <x:v>33</x:v>
      </x:c>
      <x:c r="H61" s="20" t="str">
        <x:v>Planned</x:v>
      </x:c>
      <x:c r="I61" s="20" t="str">
        <x:v>Every aggregate opens supporting transactions</x:v>
      </x:c>
      <x:c r="J61" s="20" t="str">
        <x:v>Unassigned</x:v>
      </x:c>
      <x:c r="K61" s="20" t="str"/>
    </x:row>
    <x:row r="62" ht="31" customHeight="1">
      <x:c r="A62" s="24" t="str">
        <x:v>☐</x:v>
      </x:c>
      <x:c r="B62" s="20" t="str">
        <x:v>FIN-058</x:v>
      </x:c>
      <x:c r="C62" s="20" t="str">
        <x:v>V1</x:v>
      </x:c>
      <x:c r="D62" s="20" t="str">
        <x:v>Financial calculations &amp; dashboard</x:v>
      </x:c>
      <x:c r="E62" s="20" t="str">
        <x:v>Empty/partial-data behavior</x:v>
      </x:c>
      <x:c r="F62" s="20" t="str">
        <x:v>P0</x:v>
      </x:c>
      <x:c r="G62" s="20" t="str">
        <x:v>33</x:v>
      </x:c>
      <x:c r="H62" s="20" t="str">
        <x:v>Planned</x:v>
      </x:c>
      <x:c r="I62" s="20" t="str">
        <x:v>Insufficient data does not generate false precision</x:v>
      </x:c>
      <x:c r="J62" s="20" t="str">
        <x:v>Unassigned</x:v>
      </x:c>
      <x:c r="K62" s="20" t="str"/>
    </x:row>
    <x:row r="63" ht="31" customHeight="1">
      <x:c r="A63" s="24" t="str">
        <x:v>☐</x:v>
      </x:c>
      <x:c r="B63" s="20" t="str">
        <x:v>FIN-059</x:v>
      </x:c>
      <x:c r="C63" s="20" t="str">
        <x:v>V1</x:v>
      </x:c>
      <x:c r="D63" s="20" t="str">
        <x:v>Personal finance insights</x:v>
      </x:c>
      <x:c r="E63" s="20" t="str">
        <x:v>Recurring-charge detector</x:v>
      </x:c>
      <x:c r="F63" s="20" t="str">
        <x:v>P0</x:v>
      </x:c>
      <x:c r="G63" s="20" t="str">
        <x:v>39</x:v>
      </x:c>
      <x:c r="H63" s="20" t="str">
        <x:v>Planned</x:v>
      </x:c>
      <x:c r="I63" s="20" t="str">
        <x:v>Repeated merchant-period sequences produce candidates</x:v>
      </x:c>
      <x:c r="J63" s="20" t="str">
        <x:v>Unassigned</x:v>
      </x:c>
      <x:c r="K63" s="20" t="str"/>
    </x:row>
    <x:row r="64" ht="31" customHeight="1">
      <x:c r="A64" s="24" t="str">
        <x:v>☐</x:v>
      </x:c>
      <x:c r="B64" s="20" t="str">
        <x:v>FIN-060</x:v>
      </x:c>
      <x:c r="C64" s="20" t="str">
        <x:v>V1</x:v>
      </x:c>
      <x:c r="D64" s="20" t="str">
        <x:v>Personal finance insights</x:v>
      </x:c>
      <x:c r="E64" s="20" t="str">
        <x:v>Subscriptions and fixed commitments view</x:v>
      </x:c>
      <x:c r="F64" s="20" t="str">
        <x:v>P0</x:v>
      </x:c>
      <x:c r="G64" s="20" t="str">
        <x:v>39</x:v>
      </x:c>
      <x:c r="H64" s="20" t="str">
        <x:v>Planned</x:v>
      </x:c>
      <x:c r="I64" s="20" t="str">
        <x:v>Recurring monthly/annual values displayed</x:v>
      </x:c>
      <x:c r="J64" s="20" t="str">
        <x:v>Unassigned</x:v>
      </x:c>
      <x:c r="K64" s="20" t="str"/>
    </x:row>
    <x:row r="65" ht="31" customHeight="1">
      <x:c r="A65" s="24" t="str">
        <x:v>☐</x:v>
      </x:c>
      <x:c r="B65" s="20" t="str">
        <x:v>FIN-061</x:v>
      </x:c>
      <x:c r="C65" s="20" t="str">
        <x:v>V1</x:v>
      </x:c>
      <x:c r="D65" s="20" t="str">
        <x:v>Personal finance insights</x:v>
      </x:c>
      <x:c r="E65" s="20" t="str">
        <x:v>Potential duplicate payment alerts</x:v>
      </x:c>
      <x:c r="F65" s="20" t="str">
        <x:v>P0</x:v>
      </x:c>
      <x:c r="G65" s="20" t="str">
        <x:v>39</x:v>
      </x:c>
      <x:c r="H65" s="20" t="str">
        <x:v>Planned</x:v>
      </x:c>
      <x:c r="I65" s="20" t="str">
        <x:v>Suspected duplicate charges are clearly labeled as tentative</x:v>
      </x:c>
      <x:c r="J65" s="20" t="str">
        <x:v>Unassigned</x:v>
      </x:c>
      <x:c r="K65" s="20" t="str"/>
    </x:row>
    <x:row r="66" ht="31" customHeight="1">
      <x:c r="A66" s="24" t="str">
        <x:v>☐</x:v>
      </x:c>
      <x:c r="B66" s="20" t="str">
        <x:v>FIN-062</x:v>
      </x:c>
      <x:c r="C66" s="20" t="str">
        <x:v>V1</x:v>
      </x:c>
      <x:c r="D66" s="20" t="str">
        <x:v>Personal finance insights</x:v>
      </x:c>
      <x:c r="E66" s="20" t="str">
        <x:v>Unusual spending alerts</x:v>
      </x:c>
      <x:c r="F66" s="20" t="str">
        <x:v>P0</x:v>
      </x:c>
      <x:c r="G66" s="20" t="str">
        <x:v>39</x:v>
      </x:c>
      <x:c r="H66" s="20" t="str">
        <x:v>Planned</x:v>
      </x:c>
      <x:c r="I66" s="20" t="str">
        <x:v>Outliers are flagged without fraud accusations</x:v>
      </x:c>
      <x:c r="J66" s="20" t="str">
        <x:v>Unassigned</x:v>
      </x:c>
      <x:c r="K66" s="20" t="str"/>
    </x:row>
    <x:row r="67" ht="31" customHeight="1">
      <x:c r="A67" s="24" t="str">
        <x:v>☐</x:v>
      </x:c>
      <x:c r="B67" s="20" t="str">
        <x:v>FIN-063</x:v>
      </x:c>
      <x:c r="C67" s="20" t="str">
        <x:v>V1</x:v>
      </x:c>
      <x:c r="D67" s="20" t="str">
        <x:v>Personal finance insights</x:v>
      </x:c>
      <x:c r="E67" s="20" t="str">
        <x:v>Recurring price-increase alerts</x:v>
      </x:c>
      <x:c r="F67" s="20" t="str">
        <x:v>P0</x:v>
      </x:c>
      <x:c r="G67" s="20" t="str">
        <x:v>39</x:v>
      </x:c>
      <x:c r="H67" s="20" t="str">
        <x:v>Planned</x:v>
      </x:c>
      <x:c r="I67" s="20" t="str">
        <x:v>Meaningful increase compared with prior payments detected</x:v>
      </x:c>
      <x:c r="J67" s="20" t="str">
        <x:v>Unassigned</x:v>
      </x:c>
      <x:c r="K67" s="20" t="str"/>
    </x:row>
    <x:row r="68" ht="31" customHeight="1">
      <x:c r="A68" s="24" t="str">
        <x:v>☐</x:v>
      </x:c>
      <x:c r="B68" s="20" t="str">
        <x:v>FIN-064</x:v>
      </x:c>
      <x:c r="C68" s="20" t="str">
        <x:v>V1</x:v>
      </x:c>
      <x:c r="D68" s="20" t="str">
        <x:v>Personal finance insights</x:v>
      </x:c>
      <x:c r="E68" s="20" t="str">
        <x:v>Explainable savings metrics</x:v>
      </x:c>
      <x:c r="F68" s="20" t="str">
        <x:v>P0</x:v>
      </x:c>
      <x:c r="G68" s="20" t="str">
        <x:v>39</x:v>
      </x:c>
      <x:c r="H68" s="20" t="str">
        <x:v>Planned</x:v>
      </x:c>
      <x:c r="I68" s="20" t="str">
        <x:v>Cash available and invested cash explicitly distinguished</x:v>
      </x:c>
      <x:c r="J68" s="20" t="str">
        <x:v>Unassigned</x:v>
      </x:c>
      <x:c r="K68" s="20" t="str"/>
    </x:row>
    <x:row r="69" ht="31" customHeight="1">
      <x:c r="A69" s="24" t="str">
        <x:v>☐</x:v>
      </x:c>
      <x:c r="B69" s="20" t="str">
        <x:v>FIN-065</x:v>
      </x:c>
      <x:c r="C69" s="20" t="str">
        <x:v>V1</x:v>
      </x:c>
      <x:c r="D69" s="20" t="str">
        <x:v>Personal finance insights</x:v>
      </x:c>
      <x:c r="E69" s="20" t="str">
        <x:v>Monthly financial summary report</x:v>
      </x:c>
      <x:c r="F69" s="20" t="str">
        <x:v>P0</x:v>
      </x:c>
      <x:c r="G69" s="20" t="str">
        <x:v>39</x:v>
      </x:c>
      <x:c r="H69" s="20" t="str">
        <x:v>Planned</x:v>
      </x:c>
      <x:c r="I69" s="20" t="str">
        <x:v>Monthly report produced from audited calculations</x:v>
      </x:c>
      <x:c r="J69" s="20" t="str">
        <x:v>Unassigned</x:v>
      </x:c>
      <x:c r="K69" s="20" t="str"/>
    </x:row>
    <x:row r="70" ht="31" customHeight="1">
      <x:c r="A70" s="24" t="str">
        <x:v>☐</x:v>
      </x:c>
      <x:c r="B70" s="20" t="str">
        <x:v>FIN-066</x:v>
      </x:c>
      <x:c r="C70" s="20" t="str">
        <x:v>V1</x:v>
      </x:c>
      <x:c r="D70" s="20" t="str">
        <x:v>Personal finance insights</x:v>
      </x:c>
      <x:c r="E70" s="20" t="str">
        <x:v>Coverage-aware health components</x:v>
      </x:c>
      <x:c r="F70" s="20" t="str">
        <x:v>P0</x:v>
      </x:c>
      <x:c r="G70" s="20" t="str">
        <x:v>39</x:v>
      </x:c>
      <x:c r="H70" s="20" t="str">
        <x:v>Planned</x:v>
      </x:c>
      <x:c r="I70" s="20" t="str">
        <x:v>Components show evidence and avoid fake overall score</x:v>
      </x:c>
      <x:c r="J70" s="20" t="str">
        <x:v>Unassigned</x:v>
      </x:c>
      <x:c r="K70" s="20" t="str"/>
    </x:row>
    <x:row r="71" ht="31" customHeight="1">
      <x:c r="A71" s="24" t="str">
        <x:v>☐</x:v>
      </x:c>
      <x:c r="B71" s="20" t="str">
        <x:v>FIN-067</x:v>
      </x:c>
      <x:c r="C71" s="20" t="str">
        <x:v>V1</x:v>
      </x:c>
      <x:c r="D71" s="20" t="str">
        <x:v>Personal finance insights</x:v>
      </x:c>
      <x:c r="E71" s="20" t="str">
        <x:v>Upload reminder and monthly notification preferences</x:v>
      </x:c>
      <x:c r="F71" s="20" t="str">
        <x:v>P0</x:v>
      </x:c>
      <x:c r="G71" s="20" t="str">
        <x:v>39</x:v>
      </x:c>
      <x:c r="H71" s="20" t="str">
        <x:v>Planned</x:v>
      </x:c>
      <x:c r="I71" s="20" t="str">
        <x:v>User controls reminder frequency and channel</x:v>
      </x:c>
      <x:c r="J71" s="20" t="str">
        <x:v>Unassigned</x:v>
      </x:c>
      <x:c r="K71" s="20" t="str"/>
    </x:row>
    <x:row r="72" ht="31" customHeight="1">
      <x:c r="A72" s="24" t="str">
        <x:v>☐</x:v>
      </x:c>
      <x:c r="B72" s="20" t="str">
        <x:v>FIN-068</x:v>
      </x:c>
      <x:c r="C72" s="20" t="str">
        <x:v>V1</x:v>
      </x:c>
      <x:c r="D72" s="20" t="str">
        <x:v>Ask My Money AI</x:v>
      </x:c>
      <x:c r="E72" s="20" t="str">
        <x:v>Approved financial query tools</x:v>
      </x:c>
      <x:c r="F72" s="20" t="str">
        <x:v>P0</x:v>
      </x:c>
      <x:c r="G72" s="20" t="str">
        <x:v>43</x:v>
      </x:c>
      <x:c r="H72" s="20" t="str">
        <x:v>Planned</x:v>
      </x:c>
      <x:c r="I72" s="20" t="str">
        <x:v>Model cannot access DB except via allowlisted functions</x:v>
      </x:c>
      <x:c r="J72" s="20" t="str">
        <x:v>Unassigned</x:v>
      </x:c>
      <x:c r="K72" s="20" t="str"/>
    </x:row>
    <x:row r="73" ht="31" customHeight="1">
      <x:c r="A73" s="24" t="str">
        <x:v>☐</x:v>
      </x:c>
      <x:c r="B73" s="20" t="str">
        <x:v>FIN-069</x:v>
      </x:c>
      <x:c r="C73" s="20" t="str">
        <x:v>V1</x:v>
      </x:c>
      <x:c r="D73" s="20" t="str">
        <x:v>Ask My Money AI</x:v>
      </x:c>
      <x:c r="E73" s="20" t="str">
        <x:v>Safe question-to-tool routing</x:v>
      </x:c>
      <x:c r="F73" s="20" t="str">
        <x:v>P0</x:v>
      </x:c>
      <x:c r="G73" s="20" t="str">
        <x:v>43</x:v>
      </x:c>
      <x:c r="H73" s="20" t="str">
        <x:v>Planned</x:v>
      </x:c>
      <x:c r="I73" s="20" t="str">
        <x:v>Spending, income and comparison intents map correctly</x:v>
      </x:c>
      <x:c r="J73" s="20" t="str">
        <x:v>Unassigned</x:v>
      </x:c>
      <x:c r="K73" s="20" t="str"/>
    </x:row>
    <x:row r="74" ht="31" customHeight="1">
      <x:c r="A74" s="24" t="str">
        <x:v>☐</x:v>
      </x:c>
      <x:c r="B74" s="20" t="str">
        <x:v>FIN-070</x:v>
      </x:c>
      <x:c r="C74" s="20" t="str">
        <x:v>V1</x:v>
      </x:c>
      <x:c r="D74" s="20" t="str">
        <x:v>Ask My Money AI</x:v>
      </x:c>
      <x:c r="E74" s="20" t="str">
        <x:v>Financial chat interface</x:v>
      </x:c>
      <x:c r="F74" s="20" t="str">
        <x:v>P0</x:v>
      </x:c>
      <x:c r="G74" s="20" t="str">
        <x:v>43</x:v>
      </x:c>
      <x:c r="H74" s="20" t="str">
        <x:v>Planned</x:v>
      </x:c>
      <x:c r="I74" s="20" t="str">
        <x:v>Users can ask questions with usable failure messages</x:v>
      </x:c>
      <x:c r="J74" s="20" t="str">
        <x:v>Unassigned</x:v>
      </x:c>
      <x:c r="K74" s="20" t="str"/>
    </x:row>
    <x:row r="75" ht="31" customHeight="1">
      <x:c r="A75" s="24" t="str">
        <x:v>☐</x:v>
      </x:c>
      <x:c r="B75" s="20" t="str">
        <x:v>FIN-071</x:v>
      </x:c>
      <x:c r="C75" s="20" t="str">
        <x:v>V1</x:v>
      </x:c>
      <x:c r="D75" s="20" t="str">
        <x:v>Ask My Money AI</x:v>
      </x:c>
      <x:c r="E75" s="20" t="str">
        <x:v>Source-backed numerical answers</x:v>
      </x:c>
      <x:c r="F75" s="20" t="str">
        <x:v>P0</x:v>
      </x:c>
      <x:c r="G75" s="20" t="str">
        <x:v>43</x:v>
      </x:c>
      <x:c r="H75" s="20" t="str">
        <x:v>Planned</x:v>
      </x:c>
      <x:c r="I75" s="20" t="str">
        <x:v>Every number is derived from backend and traceable</x:v>
      </x:c>
      <x:c r="J75" s="20" t="str">
        <x:v>Unassigned</x:v>
      </x:c>
      <x:c r="K75" s="20" t="str"/>
    </x:row>
    <x:row r="76" ht="31" customHeight="1">
      <x:c r="A76" s="24" t="str">
        <x:v>☐</x:v>
      </x:c>
      <x:c r="B76" s="20" t="str">
        <x:v>FIN-072</x:v>
      </x:c>
      <x:c r="C76" s="20" t="str">
        <x:v>V1</x:v>
      </x:c>
      <x:c r="D76" s="20" t="str">
        <x:v>Ask My Money AI</x:v>
      </x:c>
      <x:c r="E76" s="20" t="str">
        <x:v>Privacy-minimized model prompts</x:v>
      </x:c>
      <x:c r="F76" s="20" t="str">
        <x:v>P0</x:v>
      </x:c>
      <x:c r="G76" s="20" t="str">
        <x:v>43</x:v>
      </x:c>
      <x:c r="H76" s="20" t="str">
        <x:v>Planned</x:v>
      </x:c>
      <x:c r="I76" s="20" t="str">
        <x:v>PAN/account numbers and unrelated financial rows withheld</x:v>
      </x:c>
      <x:c r="J76" s="20" t="str">
        <x:v>Unassigned</x:v>
      </x:c>
      <x:c r="K76" s="20" t="str"/>
    </x:row>
    <x:row r="77" ht="31" customHeight="1">
      <x:c r="A77" s="24" t="str">
        <x:v>☐</x:v>
      </x:c>
      <x:c r="B77" s="20" t="str">
        <x:v>FIN-073</x:v>
      </x:c>
      <x:c r="C77" s="20" t="str">
        <x:v>V1</x:v>
      </x:c>
      <x:c r="D77" s="20" t="str">
        <x:v>Ask My Money AI</x:v>
      </x:c>
      <x:c r="E77" s="20" t="str">
        <x:v>Prompt injection resilience</x:v>
      </x:c>
      <x:c r="F77" s="20" t="str">
        <x:v>P0</x:v>
      </x:c>
      <x:c r="G77" s="20" t="str">
        <x:v>43</x:v>
      </x:c>
      <x:c r="H77" s="20" t="str">
        <x:v>Planned</x:v>
      </x:c>
      <x:c r="I77" s="20" t="str">
        <x:v>Untrusted statement texts cannot override system behavior</x:v>
      </x:c>
      <x:c r="J77" s="20" t="str">
        <x:v>Unassigned</x:v>
      </x:c>
      <x:c r="K77" s="20" t="str"/>
    </x:row>
    <x:row r="78" ht="31" customHeight="1">
      <x:c r="A78" s="24" t="str">
        <x:v>☐</x:v>
      </x:c>
      <x:c r="B78" s="20" t="str">
        <x:v>FIN-074</x:v>
      </x:c>
      <x:c r="C78" s="20" t="str">
        <x:v>V1</x:v>
      </x:c>
      <x:c r="D78" s="20" t="str">
        <x:v>Ask My Money AI</x:v>
      </x:c>
      <x:c r="E78" s="20" t="str">
        <x:v>Ambiguity and missing data responses</x:v>
      </x:c>
      <x:c r="F78" s="20" t="str">
        <x:v>P0</x:v>
      </x:c>
      <x:c r="G78" s="20" t="str">
        <x:v>43</x:v>
      </x:c>
      <x:c r="H78" s="20" t="str">
        <x:v>Planned</x:v>
      </x:c>
      <x:c r="I78" s="20" t="str">
        <x:v>AI acknowledges incomplete account coverage</x:v>
      </x:c>
      <x:c r="J78" s="20" t="str">
        <x:v>Unassigned</x:v>
      </x:c>
      <x:c r="K78" s="20" t="str"/>
    </x:row>
    <x:row r="79" ht="31" customHeight="1">
      <x:c r="A79" s="24" t="str">
        <x:v>☐</x:v>
      </x:c>
      <x:c r="B79" s="20" t="str">
        <x:v>FIN-075</x:v>
      </x:c>
      <x:c r="C79" s="20" t="str">
        <x:v>V1</x:v>
      </x:c>
      <x:c r="D79" s="20" t="str">
        <x:v>Ask My Money AI</x:v>
      </x:c>
      <x:c r="E79" s="20" t="str">
        <x:v>AI usage limits and cost controls</x:v>
      </x:c>
      <x:c r="F79" s="20" t="str">
        <x:v>P0</x:v>
      </x:c>
      <x:c r="G79" s="20" t="str">
        <x:v>43</x:v>
      </x:c>
      <x:c r="H79" s="20" t="str">
        <x:v>Planned</x:v>
      </x:c>
      <x:c r="I79" s="20" t="str">
        <x:v>Server enforces quotas and protects expensive endpoints</x:v>
      </x:c>
      <x:c r="J79" s="20" t="str">
        <x:v>Unassigned</x:v>
      </x:c>
      <x:c r="K79" s="20" t="str"/>
    </x:row>
    <x:row r="80" ht="31" customHeight="1">
      <x:c r="A80" s="24" t="str">
        <x:v>☐</x:v>
      </x:c>
      <x:c r="B80" s="20" t="str">
        <x:v>FIN-076</x:v>
      </x:c>
      <x:c r="C80" s="20" t="str">
        <x:v>V1</x:v>
      </x:c>
      <x:c r="D80" s="20" t="str">
        <x:v>Ask My Money AI</x:v>
      </x:c>
      <x:c r="E80" s="20" t="str">
        <x:v>AI evaluation set</x:v>
      </x:c>
      <x:c r="F80" s="20" t="str">
        <x:v>P0</x:v>
      </x:c>
      <x:c r="G80" s="20" t="str">
        <x:v>43</x:v>
      </x:c>
      <x:c r="H80" s="20" t="str">
        <x:v>Planned</x:v>
      </x:c>
      <x:c r="I80" s="20" t="str">
        <x:v>Numerical, redaction and adversarial tests pass</x:v>
      </x:c>
      <x:c r="J80" s="20" t="str">
        <x:v>Unassigned</x:v>
      </x:c>
      <x:c r="K80" s="20" t="str"/>
    </x:row>
    <x:row r="81" ht="31" customHeight="1">
      <x:c r="A81" s="24" t="str">
        <x:v>☐</x:v>
      </x:c>
      <x:c r="B81" s="20" t="str">
        <x:v>FIN-077</x:v>
      </x:c>
      <x:c r="C81" s="20" t="str">
        <x:v>V1</x:v>
      </x:c>
      <x:c r="D81" s="20" t="str">
        <x:v>Tax readiness and policy</x:v>
      </x:c>
      <x:c r="E81" s="20" t="str">
        <x:v>Private tax-document vault</x:v>
      </x:c>
      <x:c r="F81" s="20" t="str">
        <x:v>P0</x:v>
      </x:c>
      <x:c r="G81" s="20" t="str">
        <x:v>51</x:v>
      </x:c>
      <x:c r="H81" s="20" t="str">
        <x:v>Planned</x:v>
      </x:c>
      <x:c r="I81" s="20" t="str">
        <x:v>Documents have user ownership, permissions and tags</x:v>
      </x:c>
      <x:c r="J81" s="20" t="str">
        <x:v>Unassigned</x:v>
      </x:c>
      <x:c r="K81" s="20" t="str"/>
    </x:row>
    <x:row r="82" ht="31" customHeight="1">
      <x:c r="A82" s="24" t="str">
        <x:v>☐</x:v>
      </x:c>
      <x:c r="B82" s="20" t="str">
        <x:v>FIN-078</x:v>
      </x:c>
      <x:c r="C82" s="20" t="str">
        <x:v>V1</x:v>
      </x:c>
      <x:c r="D82" s="20" t="str">
        <x:v>Tax readiness and policy</x:v>
      </x:c>
      <x:c r="E82" s="20" t="str">
        <x:v>Tax reporting period handling</x:v>
      </x:c>
      <x:c r="F82" s="20" t="str">
        <x:v>P0</x:v>
      </x:c>
      <x:c r="G82" s="20" t="str">
        <x:v>51</x:v>
      </x:c>
      <x:c r="H82" s="20" t="str">
        <x:v>Planned</x:v>
      </x:c>
      <x:c r="I82" s="20" t="str">
        <x:v>Supports historic FY/AY and newer Tax Year convention</x:v>
      </x:c>
      <x:c r="J82" s="20" t="str">
        <x:v>Unassigned</x:v>
      </x:c>
      <x:c r="K82" s="20" t="str"/>
    </x:row>
    <x:row r="83" ht="31" customHeight="1">
      <x:c r="A83" s="24" t="str">
        <x:v>☐</x:v>
      </x:c>
      <x:c r="B83" s="20" t="str">
        <x:v>FIN-079</x:v>
      </x:c>
      <x:c r="C83" s="20" t="str">
        <x:v>V1</x:v>
      </x:c>
      <x:c r="D83" s="20" t="str">
        <x:v>Tax readiness and policy</x:v>
      </x:c>
      <x:c r="E83" s="20" t="str">
        <x:v>Form 16 upload and metadata extraction</x:v>
      </x:c>
      <x:c r="F83" s="20" t="str">
        <x:v>P0</x:v>
      </x:c>
      <x:c r="G83" s="20" t="str">
        <x:v>51</x:v>
      </x:c>
      <x:c r="H83" s="20" t="str">
        <x:v>Planned</x:v>
      </x:c>
      <x:c r="I83" s="20" t="str">
        <x:v>Extracted fields are user-reviewable with source refs</x:v>
      </x:c>
      <x:c r="J83" s="20" t="str">
        <x:v>Unassigned</x:v>
      </x:c>
      <x:c r="K83" s="20" t="str"/>
    </x:row>
    <x:row r="84" ht="31" customHeight="1">
      <x:c r="A84" s="24" t="str">
        <x:v>☐</x:v>
      </x:c>
      <x:c r="B84" s="20" t="str">
        <x:v>FIN-080</x:v>
      </x:c>
      <x:c r="C84" s="20" t="str">
        <x:v>V1</x:v>
      </x:c>
      <x:c r="D84" s="20" t="str">
        <x:v>Tax readiness and policy</x:v>
      </x:c>
      <x:c r="E84" s="20" t="str">
        <x:v>AIS/TIS upload identification</x:v>
      </x:c>
      <x:c r="F84" s="20" t="str">
        <x:v>P0</x:v>
      </x:c>
      <x:c r="G84" s="20" t="str">
        <x:v>51</x:v>
      </x:c>
      <x:c r="H84" s="20" t="str">
        <x:v>Planned</x:v>
      </x:c>
      <x:c r="I84" s="20" t="str">
        <x:v>User uploads and tags source files without unofficial scraping</x:v>
      </x:c>
      <x:c r="J84" s="20" t="str">
        <x:v>Unassigned</x:v>
      </x:c>
      <x:c r="K84" s="20" t="str"/>
    </x:row>
    <x:row r="85" ht="31" customHeight="1">
      <x:c r="A85" s="24" t="str">
        <x:v>☐</x:v>
      </x:c>
      <x:c r="B85" s="20" t="str">
        <x:v>FIN-081</x:v>
      </x:c>
      <x:c r="C85" s="20" t="str">
        <x:v>V1</x:v>
      </x:c>
      <x:c r="D85" s="20" t="str">
        <x:v>Tax readiness and policy</x:v>
      </x:c>
      <x:c r="E85" s="20" t="str">
        <x:v>Tax document checklist</x:v>
      </x:c>
      <x:c r="F85" s="20" t="str">
        <x:v>P0</x:v>
      </x:c>
      <x:c r="G85" s="20" t="str">
        <x:v>51</x:v>
      </x:c>
      <x:c r="H85" s="20" t="str">
        <x:v>Planned</x:v>
      </x:c>
      <x:c r="I85" s="20" t="str">
        <x:v>Checklist based on declared applicable income sources</x:v>
      </x:c>
      <x:c r="J85" s="20" t="str">
        <x:v>Unassigned</x:v>
      </x:c>
      <x:c r="K85" s="20" t="str"/>
    </x:row>
    <x:row r="86" ht="31" customHeight="1">
      <x:c r="A86" s="24" t="str">
        <x:v>☐</x:v>
      </x:c>
      <x:c r="B86" s="20" t="str">
        <x:v>FIN-082</x:v>
      </x:c>
      <x:c r="C86" s="20" t="str">
        <x:v>V1</x:v>
      </x:c>
      <x:c r="D86" s="20" t="str">
        <x:v>Tax readiness and policy</x:v>
      </x:c>
      <x:c r="E86" s="20" t="str">
        <x:v>Tax readiness reasons and gaps</x:v>
      </x:c>
      <x:c r="F86" s="20" t="str">
        <x:v>P0</x:v>
      </x:c>
      <x:c r="G86" s="20" t="str">
        <x:v>51</x:v>
      </x:c>
      <x:c r="H86" s="20" t="str">
        <x:v>Planned</x:v>
      </x:c>
      <x:c r="I86" s="20" t="str">
        <x:v>Score/status explain exactly which documents are missing</x:v>
      </x:c>
      <x:c r="J86" s="20" t="str">
        <x:v>Unassigned</x:v>
      </x:c>
      <x:c r="K86" s="20" t="str"/>
    </x:row>
    <x:row r="87" ht="31" customHeight="1">
      <x:c r="A87" s="24" t="str">
        <x:v>☐</x:v>
      </x:c>
      <x:c r="B87" s="20" t="str">
        <x:v>FIN-083</x:v>
      </x:c>
      <x:c r="C87" s="20" t="str">
        <x:v>V1</x:v>
      </x:c>
      <x:c r="D87" s="20" t="str">
        <x:v>Tax readiness and policy</x:v>
      </x:c>
      <x:c r="E87" s="20" t="str">
        <x:v>Verified official tax sources catalog</x:v>
      </x:c>
      <x:c r="F87" s="20" t="str">
        <x:v>P0</x:v>
      </x:c>
      <x:c r="G87" s="20" t="str">
        <x:v>51</x:v>
      </x:c>
      <x:c r="H87" s="20" t="str">
        <x:v>Planned</x:v>
      </x:c>
      <x:c r="I87" s="20" t="str">
        <x:v>Every published change links to authoritative document</x:v>
      </x:c>
      <x:c r="J87" s="20" t="str">
        <x:v>Unassigned</x:v>
      </x:c>
      <x:c r="K87" s="20" t="str"/>
    </x:row>
    <x:row r="88" ht="31" customHeight="1">
      <x:c r="A88" s="24" t="str">
        <x:v>☐</x:v>
      </x:c>
      <x:c r="B88" s="20" t="str">
        <x:v>FIN-084</x:v>
      </x:c>
      <x:c r="C88" s="20" t="str">
        <x:v>V1</x:v>
      </x:c>
      <x:c r="D88" s="20" t="str">
        <x:v>Tax readiness and policy</x:v>
      </x:c>
      <x:c r="E88" s="20" t="str">
        <x:v>Versioned rule metadata store</x:v>
      </x:c>
      <x:c r="F88" s="20" t="str">
        <x:v>P0</x:v>
      </x:c>
      <x:c r="G88" s="20" t="str">
        <x:v>51</x:v>
      </x:c>
      <x:c r="H88" s="20" t="str">
        <x:v>Planned</x:v>
      </x:c>
      <x:c r="I88" s="20" t="str">
        <x:v>Effective dates, publication and verification fields captured</x:v>
      </x:c>
      <x:c r="J88" s="20" t="str">
        <x:v>Unassigned</x:v>
      </x:c>
      <x:c r="K88" s="20" t="str"/>
    </x:row>
    <x:row r="89" ht="31" customHeight="1">
      <x:c r="A89" s="24" t="str">
        <x:v>☐</x:v>
      </x:c>
      <x:c r="B89" s="20" t="str">
        <x:v>FIN-085</x:v>
      </x:c>
      <x:c r="C89" s="20" t="str">
        <x:v>V1</x:v>
      </x:c>
      <x:c r="D89" s="20" t="str">
        <x:v>Tax readiness and policy</x:v>
      </x:c>
      <x:c r="E89" s="20" t="str">
        <x:v>Rule review and approval workflow</x:v>
      </x:c>
      <x:c r="F89" s="20" t="str">
        <x:v>P0</x:v>
      </x:c>
      <x:c r="G89" s="20" t="str">
        <x:v>51</x:v>
      </x:c>
      <x:c r="H89" s="20" t="str">
        <x:v>Planned</x:v>
      </x:c>
      <x:c r="I89" s="20" t="str">
        <x:v>Unapproved rule changes cannot affect user output</x:v>
      </x:c>
      <x:c r="J89" s="20" t="str">
        <x:v>Unassigned</x:v>
      </x:c>
      <x:c r="K89" s="20" t="str"/>
    </x:row>
    <x:row r="90" ht="31" customHeight="1">
      <x:c r="A90" s="24" t="str">
        <x:v>☐</x:v>
      </x:c>
      <x:c r="B90" s="20" t="str">
        <x:v>FIN-086</x:v>
      </x:c>
      <x:c r="C90" s="20" t="str">
        <x:v>V1</x:v>
      </x:c>
      <x:c r="D90" s="20" t="str">
        <x:v>Tax readiness and policy</x:v>
      </x:c>
      <x:c r="E90" s="20" t="str">
        <x:v>Tax policy change history and rollback</x:v>
      </x:c>
      <x:c r="F90" s="20" t="str">
        <x:v>P0</x:v>
      </x:c>
      <x:c r="G90" s="20" t="str">
        <x:v>51</x:v>
      </x:c>
      <x:c r="H90" s="20" t="str">
        <x:v>Planned</x:v>
      </x:c>
      <x:c r="I90" s="20" t="str">
        <x:v>Reviewer actions and older rules remain inspectable</x:v>
      </x:c>
      <x:c r="J90" s="20" t="str">
        <x:v>Unassigned</x:v>
      </x:c>
      <x:c r="K90" s="20" t="str"/>
    </x:row>
    <x:row r="91" ht="31" customHeight="1">
      <x:c r="A91" s="24" t="str">
        <x:v>☐</x:v>
      </x:c>
      <x:c r="B91" s="20" t="str">
        <x:v>FIN-087</x:v>
      </x:c>
      <x:c r="C91" s="20" t="str">
        <x:v>V1</x:v>
      </x:c>
      <x:c r="D91" s="20" t="str">
        <x:v>Tax readiness and policy</x:v>
      </x:c>
      <x:c r="E91" s="20" t="str">
        <x:v>Source-linked tax knowledge viewer</x:v>
      </x:c>
      <x:c r="F91" s="20" t="str">
        <x:v>P0</x:v>
      </x:c>
      <x:c r="G91" s="20" t="str">
        <x:v>51</x:v>
      </x:c>
      <x:c r="H91" s="20" t="str">
        <x:v>Planned</x:v>
      </x:c>
      <x:c r="I91" s="20" t="str">
        <x:v>Users can see applicable sourced changes by period</x:v>
      </x:c>
      <x:c r="J91" s="20" t="str">
        <x:v>Unassigned</x:v>
      </x:c>
      <x:c r="K91" s="20" t="str"/>
    </x:row>
    <x:row r="92" ht="31" customHeight="1">
      <x:c r="A92" s="24" t="str">
        <x:v>☐</x:v>
      </x:c>
      <x:c r="B92" s="20" t="str">
        <x:v>FIN-088</x:v>
      </x:c>
      <x:c r="C92" s="20" t="str">
        <x:v>V1</x:v>
      </x:c>
      <x:c r="D92" s="20" t="str">
        <x:v>Tax readiness and policy</x:v>
      </x:c>
      <x:c r="E92" s="20" t="str">
        <x:v>Professional reviewer sign-off</x:v>
      </x:c>
      <x:c r="F92" s="20" t="str">
        <x:v>P0</x:v>
      </x:c>
      <x:c r="G92" s="20" t="str">
        <x:v>51</x:v>
      </x:c>
      <x:c r="H92" s="20" t="str">
        <x:v>Planned</x:v>
      </x:c>
      <x:c r="I92" s="20" t="str">
        <x:v>Tax content marked verified only after qualified review</x:v>
      </x:c>
      <x:c r="J92" s="20" t="str">
        <x:v>Unassigned</x:v>
      </x:c>
      <x:c r="K92" s="20" t="str"/>
    </x:row>
    <x:row r="93" ht="31" customHeight="1">
      <x:c r="A93" s="24" t="str">
        <x:v>☐</x:v>
      </x:c>
      <x:c r="B93" s="20" t="str">
        <x:v>FIN-089</x:v>
      </x:c>
      <x:c r="C93" s="20" t="str">
        <x:v>V1</x:v>
      </x:c>
      <x:c r="D93" s="20" t="str">
        <x:v>Tax readiness and policy</x:v>
      </x:c>
      <x:c r="E93" s="20" t="str">
        <x:v>Tax limitations disclosure</x:v>
      </x:c>
      <x:c r="F93" s="20" t="str">
        <x:v>P0</x:v>
      </x:c>
      <x:c r="G93" s="20" t="str">
        <x:v>51</x:v>
      </x:c>
      <x:c r="H93" s="20" t="str">
        <x:v>Planned</x:v>
      </x:c>
      <x:c r="I93" s="20" t="str">
        <x:v>Tax estimates and filing not falsely advertised as available</x:v>
      </x:c>
      <x:c r="J93" s="20" t="str">
        <x:v>Unassigned</x:v>
      </x:c>
      <x:c r="K93" s="20" t="str"/>
    </x:row>
    <x:row r="94" ht="31" customHeight="1">
      <x:c r="A94" s="24" t="str">
        <x:v>☐</x:v>
      </x:c>
      <x:c r="B94" s="20" t="str">
        <x:v>FIN-090</x:v>
      </x:c>
      <x:c r="C94" s="20" t="str">
        <x:v>V1</x:v>
      </x:c>
      <x:c r="D94" s="20" t="str">
        <x:v>CA sharing pilot</x:v>
      </x:c>
      <x:c r="E94" s="20" t="str">
        <x:v>Exportable CA-ready report</x:v>
      </x:c>
      <x:c r="F94" s="20" t="str">
        <x:v>P0</x:v>
      </x:c>
      <x:c r="G94" s="20" t="str">
        <x:v>57</x:v>
      </x:c>
      <x:c r="H94" s="20" t="str">
        <x:v>Planned</x:v>
      </x:c>
      <x:c r="I94" s="20" t="str">
        <x:v>Annual summary plus issues/missing documents included</x:v>
      </x:c>
      <x:c r="J94" s="20" t="str">
        <x:v>Unassigned</x:v>
      </x:c>
      <x:c r="K94" s="20" t="str"/>
    </x:row>
    <x:row r="95" ht="31" customHeight="1">
      <x:c r="A95" s="24" t="str">
        <x:v>☐</x:v>
      </x:c>
      <x:c r="B95" s="20" t="str">
        <x:v>FIN-091</x:v>
      </x:c>
      <x:c r="C95" s="20" t="str">
        <x:v>V1</x:v>
      </x:c>
      <x:c r="D95" s="20" t="str">
        <x:v>CA sharing pilot</x:v>
      </x:c>
      <x:c r="E95" s="20" t="str">
        <x:v>User consent before CA sharing</x:v>
      </x:c>
      <x:c r="F95" s="20" t="str">
        <x:v>P0</x:v>
      </x:c>
      <x:c r="G95" s="20" t="str">
        <x:v>57</x:v>
      </x:c>
      <x:c r="H95" s="20" t="str">
        <x:v>Planned</x:v>
      </x:c>
      <x:c r="I95" s="20" t="str">
        <x:v>Explicit selected-document sharing scopes available</x:v>
      </x:c>
      <x:c r="J95" s="20" t="str">
        <x:v>Unassigned</x:v>
      </x:c>
      <x:c r="K95" s="20" t="str"/>
    </x:row>
    <x:row r="96" ht="31" customHeight="1">
      <x:c r="A96" s="24" t="str">
        <x:v>☐</x:v>
      </x:c>
      <x:c r="B96" s="20" t="str">
        <x:v>FIN-092</x:v>
      </x:c>
      <x:c r="C96" s="20" t="str">
        <x:v>V1</x:v>
      </x:c>
      <x:c r="D96" s="20" t="str">
        <x:v>CA sharing pilot</x:v>
      </x:c>
      <x:c r="E96" s="20" t="str">
        <x:v>Time-limited access invite</x:v>
      </x:c>
      <x:c r="F96" s="20" t="str">
        <x:v>P0</x:v>
      </x:c>
      <x:c r="G96" s="20" t="str">
        <x:v>57</x:v>
      </x:c>
      <x:c r="H96" s="20" t="str">
        <x:v>Planned</x:v>
      </x:c>
      <x:c r="I96" s="20" t="str">
        <x:v>Invitation expires and uses secure access process</x:v>
      </x:c>
      <x:c r="J96" s="20" t="str">
        <x:v>Unassigned</x:v>
      </x:c>
      <x:c r="K96" s="20" t="str"/>
    </x:row>
    <x:row r="97" ht="31" customHeight="1">
      <x:c r="A97" s="24" t="str">
        <x:v>☐</x:v>
      </x:c>
      <x:c r="B97" s="20" t="str">
        <x:v>FIN-093</x:v>
      </x:c>
      <x:c r="C97" s="20" t="str">
        <x:v>V1</x:v>
      </x:c>
      <x:c r="D97" s="20" t="str">
        <x:v>CA sharing pilot</x:v>
      </x:c>
      <x:c r="E97" s="20" t="str">
        <x:v>Revoke access immediately</x:v>
      </x:c>
      <x:c r="F97" s="20" t="str">
        <x:v>P0</x:v>
      </x:c>
      <x:c r="G97" s="20" t="str">
        <x:v>57</x:v>
      </x:c>
      <x:c r="H97" s="20" t="str">
        <x:v>Planned</x:v>
      </x:c>
      <x:c r="I97" s="20" t="str">
        <x:v>Revoked professional cannot fetch resources</x:v>
      </x:c>
      <x:c r="J97" s="20" t="str">
        <x:v>Unassigned</x:v>
      </x:c>
      <x:c r="K97" s="20" t="str"/>
    </x:row>
    <x:row r="98" ht="31" customHeight="1">
      <x:c r="A98" s="24" t="str">
        <x:v>☐</x:v>
      </x:c>
      <x:c r="B98" s="20" t="str">
        <x:v>FIN-094</x:v>
      </x:c>
      <x:c r="C98" s="20" t="str">
        <x:v>V1</x:v>
      </x:c>
      <x:c r="D98" s="20" t="str">
        <x:v>CA sharing pilot</x:v>
      </x:c>
      <x:c r="E98" s="20" t="str">
        <x:v>CA viewer with least privilege</x:v>
      </x:c>
      <x:c r="F98" s="20" t="str">
        <x:v>P0</x:v>
      </x:c>
      <x:c r="G98" s="20" t="str">
        <x:v>57</x:v>
      </x:c>
      <x:c r="H98" s="20" t="str">
        <x:v>Planned</x:v>
      </x:c>
      <x:c r="I98" s="20" t="str">
        <x:v>CA sees only authorized package content</x:v>
      </x:c>
      <x:c r="J98" s="20" t="str">
        <x:v>Unassigned</x:v>
      </x:c>
      <x:c r="K98" s="20" t="str"/>
    </x:row>
    <x:row r="99" ht="31" customHeight="1">
      <x:c r="A99" s="24" t="str">
        <x:v>☐</x:v>
      </x:c>
      <x:c r="B99" s="20" t="str">
        <x:v>FIN-095</x:v>
      </x:c>
      <x:c r="C99" s="20" t="str">
        <x:v>V1</x:v>
      </x:c>
      <x:c r="D99" s="20" t="str">
        <x:v>CA sharing pilot</x:v>
      </x:c>
      <x:c r="E99" s="20" t="str">
        <x:v>Share access audit trail</x:v>
      </x:c>
      <x:c r="F99" s="20" t="str">
        <x:v>P0</x:v>
      </x:c>
      <x:c r="G99" s="20" t="str">
        <x:v>57</x:v>
      </x:c>
      <x:c r="H99" s="20" t="str">
        <x:v>Planned</x:v>
      </x:c>
      <x:c r="I99" s="20" t="str">
        <x:v>User can review share and access events</x:v>
      </x:c>
      <x:c r="J99" s="20" t="str">
        <x:v>Unassigned</x:v>
      </x:c>
      <x:c r="K99" s="20" t="str"/>
    </x:row>
    <x:row r="100" ht="31" customHeight="1">
      <x:c r="A100" s="24" t="str">
        <x:v>☐</x:v>
      </x:c>
      <x:c r="B100" s="20" t="str">
        <x:v>FIN-096</x:v>
      </x:c>
      <x:c r="C100" s="20" t="str">
        <x:v>V1</x:v>
      </x:c>
      <x:c r="D100" s="20" t="str">
        <x:v>CA sharing pilot</x:v>
      </x:c>
      <x:c r="E100" s="20" t="str">
        <x:v>CA identity and invite abuse controls</x:v>
      </x:c>
      <x:c r="F100" s="20" t="str">
        <x:v>P0</x:v>
      </x:c>
      <x:c r="G100" s="20" t="str">
        <x:v>57</x:v>
      </x:c>
      <x:c r="H100" s="20" t="str">
        <x:v>Planned</x:v>
      </x:c>
      <x:c r="I100" s="20" t="str">
        <x:v>Invite cannot be used by unintended recipients</x:v>
      </x:c>
      <x:c r="J100" s="20" t="str">
        <x:v>Unassigned</x:v>
      </x:c>
      <x:c r="K100" s="20" t="str"/>
    </x:row>
    <x:row r="101" ht="31" customHeight="1">
      <x:c r="A101" s="24" t="str">
        <x:v>☐</x:v>
      </x:c>
      <x:c r="B101" s="20" t="str">
        <x:v>FIN-097</x:v>
      </x:c>
      <x:c r="C101" s="20" t="str">
        <x:v>V1</x:v>
      </x:c>
      <x:c r="D101" s="20" t="str">
        <x:v>Billing and monetization</x:v>
      </x:c>
      <x:c r="E101" s="20" t="str">
        <x:v>Entitlement matrix</x:v>
      </x:c>
      <x:c r="F101" s="20" t="str">
        <x:v>P0</x:v>
      </x:c>
      <x:c r="G101" s="20" t="str">
        <x:v>62</x:v>
      </x:c>
      <x:c r="H101" s="20" t="str">
        <x:v>Planned</x:v>
      </x:c>
      <x:c r="I101" s="20" t="str">
        <x:v>Free/Plus/Tax Pack permissions enforce server-side</x:v>
      </x:c>
      <x:c r="J101" s="20" t="str">
        <x:v>Unassigned</x:v>
      </x:c>
      <x:c r="K101" s="20" t="str"/>
    </x:row>
    <x:row r="102" ht="31" customHeight="1">
      <x:c r="A102" s="24" t="str">
        <x:v>☐</x:v>
      </x:c>
      <x:c r="B102" s="20" t="str">
        <x:v>FIN-098</x:v>
      </x:c>
      <x:c r="C102" s="20" t="str">
        <x:v>V1</x:v>
      </x:c>
      <x:c r="D102" s="20" t="str">
        <x:v>Billing and monetization</x:v>
      </x:c>
      <x:c r="E102" s="20" t="str">
        <x:v>Usage-limited free plan</x:v>
      </x:c>
      <x:c r="F102" s="20" t="str">
        <x:v>P0</x:v>
      </x:c>
      <x:c r="G102" s="20" t="str">
        <x:v>62</x:v>
      </x:c>
      <x:c r="H102" s="20" t="str">
        <x:v>Planned</x:v>
      </x:c>
      <x:c r="I102" s="20" t="str">
        <x:v>API rejects exceeded free allowances</x:v>
      </x:c>
      <x:c r="J102" s="20" t="str">
        <x:v>Unassigned</x:v>
      </x:c>
      <x:c r="K102" s="20" t="str"/>
    </x:row>
    <x:row r="103" ht="31" customHeight="1">
      <x:c r="A103" s="24" t="str">
        <x:v>☐</x:v>
      </x:c>
      <x:c r="B103" s="20" t="str">
        <x:v>FIN-099</x:v>
      </x:c>
      <x:c r="C103" s="20" t="str">
        <x:v>V1</x:v>
      </x:c>
      <x:c r="D103" s="20" t="str">
        <x:v>Billing and monetization</x:v>
      </x:c>
      <x:c r="E103" s="20" t="str">
        <x:v>Checkout integration</x:v>
      </x:c>
      <x:c r="F103" s="20" t="str">
        <x:v>P0</x:v>
      </x:c>
      <x:c r="G103" s="20" t="str">
        <x:v>62</x:v>
      </x:c>
      <x:c r="H103" s="20" t="str">
        <x:v>Planned</x:v>
      </x:c>
      <x:c r="I103" s="20" t="str">
        <x:v>Paid checkout returns to verified order status</x:v>
      </x:c>
      <x:c r="J103" s="20" t="str">
        <x:v>Unassigned</x:v>
      </x:c>
      <x:c r="K103" s="20" t="str"/>
    </x:row>
    <x:row r="104" ht="31" customHeight="1">
      <x:c r="A104" s="24" t="str">
        <x:v>☐</x:v>
      </x:c>
      <x:c r="B104" s="20" t="str">
        <x:v>FIN-100</x:v>
      </x:c>
      <x:c r="C104" s="20" t="str">
        <x:v>V1</x:v>
      </x:c>
      <x:c r="D104" s="20" t="str">
        <x:v>Billing and monetization</x:v>
      </x:c>
      <x:c r="E104" s="20" t="str">
        <x:v>Signed payment webhooks</x:v>
      </x:c>
      <x:c r="F104" s="20" t="str">
        <x:v>P0</x:v>
      </x:c>
      <x:c r="G104" s="20" t="str">
        <x:v>62</x:v>
      </x:c>
      <x:c r="H104" s="20" t="str">
        <x:v>Planned</x:v>
      </x:c>
      <x:c r="I104" s="20" t="str">
        <x:v>Invalid webhook signatures are rejected</x:v>
      </x:c>
      <x:c r="J104" s="20" t="str">
        <x:v>Unassigned</x:v>
      </x:c>
      <x:c r="K104" s="20" t="str"/>
    </x:row>
    <x:row r="105" ht="31" customHeight="1">
      <x:c r="A105" s="24" t="str">
        <x:v>☐</x:v>
      </x:c>
      <x:c r="B105" s="20" t="str">
        <x:v>FIN-101</x:v>
      </x:c>
      <x:c r="C105" s="20" t="str">
        <x:v>V1</x:v>
      </x:c>
      <x:c r="D105" s="20" t="str">
        <x:v>Billing and monetization</x:v>
      </x:c>
      <x:c r="E105" s="20" t="str">
        <x:v>Idempotent payment event handling</x:v>
      </x:c>
      <x:c r="F105" s="20" t="str">
        <x:v>P0</x:v>
      </x:c>
      <x:c r="G105" s="20" t="str">
        <x:v>62</x:v>
      </x:c>
      <x:c r="H105" s="20" t="str">
        <x:v>Planned</x:v>
      </x:c>
      <x:c r="I105" s="20" t="str">
        <x:v>Duplicate webhooks don't duplicate entitlements</x:v>
      </x:c>
      <x:c r="J105" s="20" t="str">
        <x:v>Unassigned</x:v>
      </x:c>
      <x:c r="K105" s="20" t="str"/>
    </x:row>
    <x:row r="106" ht="31" customHeight="1">
      <x:c r="A106" s="24" t="str">
        <x:v>☐</x:v>
      </x:c>
      <x:c r="B106" s="20" t="str">
        <x:v>FIN-102</x:v>
      </x:c>
      <x:c r="C106" s="20" t="str">
        <x:v>V1</x:v>
      </x:c>
      <x:c r="D106" s="20" t="str">
        <x:v>Billing and monetization</x:v>
      </x:c>
      <x:c r="E106" s="20" t="str">
        <x:v>Upgrade and downgrade</x:v>
      </x:c>
      <x:c r="F106" s="20" t="str">
        <x:v>P0</x:v>
      </x:c>
      <x:c r="G106" s="20" t="str">
        <x:v>62</x:v>
      </x:c>
      <x:c r="H106" s="20" t="str">
        <x:v>Planned</x:v>
      </x:c>
      <x:c r="I106" s="20" t="str">
        <x:v>User can change plan without inconsistent balances</x:v>
      </x:c>
      <x:c r="J106" s="20" t="str">
        <x:v>Unassigned</x:v>
      </x:c>
      <x:c r="K106" s="20" t="str"/>
    </x:row>
    <x:row r="107" ht="31" customHeight="1">
      <x:c r="A107" s="24" t="str">
        <x:v>☐</x:v>
      </x:c>
      <x:c r="B107" s="20" t="str">
        <x:v>FIN-103</x:v>
      </x:c>
      <x:c r="C107" s="20" t="str">
        <x:v>V1</x:v>
      </x:c>
      <x:c r="D107" s="20" t="str">
        <x:v>Billing and monetization</x:v>
      </x:c>
      <x:c r="E107" s="20" t="str">
        <x:v>Refund and cancel workflow</x:v>
      </x:c>
      <x:c r="F107" s="20" t="str">
        <x:v>P0</x:v>
      </x:c>
      <x:c r="G107" s="20" t="str">
        <x:v>62</x:v>
      </x:c>
      <x:c r="H107" s="20" t="str">
        <x:v>Planned</x:v>
      </x:c>
      <x:c r="I107" s="20" t="str">
        <x:v>Refund/cancellation semantics documented and tested</x:v>
      </x:c>
      <x:c r="J107" s="20" t="str">
        <x:v>Unassigned</x:v>
      </x:c>
      <x:c r="K107" s="20" t="str"/>
    </x:row>
    <x:row r="108" ht="31" customHeight="1">
      <x:c r="A108" s="24" t="str">
        <x:v>☐</x:v>
      </x:c>
      <x:c r="B108" s="20" t="str">
        <x:v>FIN-104</x:v>
      </x:c>
      <x:c r="C108" s="20" t="str">
        <x:v>V1</x:v>
      </x:c>
      <x:c r="D108" s="20" t="str">
        <x:v>Billing and monetization</x:v>
      </x:c>
      <x:c r="E108" s="20" t="str">
        <x:v>Receipts/invoice information</x:v>
      </x:c>
      <x:c r="F108" s="20" t="str">
        <x:v>P0</x:v>
      </x:c>
      <x:c r="G108" s="20" t="str">
        <x:v>62</x:v>
      </x:c>
      <x:c r="H108" s="20" t="str">
        <x:v>Planned</x:v>
      </x:c>
      <x:c r="I108" s="20" t="str">
        <x:v>Required payment records accessible</x:v>
      </x:c>
      <x:c r="J108" s="20" t="str">
        <x:v>Unassigned</x:v>
      </x:c>
      <x:c r="K108" s="20" t="str"/>
    </x:row>
    <x:row r="109" ht="31" customHeight="1">
      <x:c r="A109" s="24" t="str">
        <x:v>☐</x:v>
      </x:c>
      <x:c r="B109" s="20" t="str">
        <x:v>FIN-105</x:v>
      </x:c>
      <x:c r="C109" s="20" t="str">
        <x:v>V1</x:v>
      </x:c>
      <x:c r="D109" s="20" t="str">
        <x:v>Billing and monetization</x:v>
      </x:c>
      <x:c r="E109" s="20" t="str">
        <x:v>Failed payment handling</x:v>
      </x:c>
      <x:c r="F109" s="20" t="str">
        <x:v>P0</x:v>
      </x:c>
      <x:c r="G109" s="20" t="str">
        <x:v>62</x:v>
      </x:c>
      <x:c r="H109" s="20" t="str">
        <x:v>Planned</x:v>
      </x:c>
      <x:c r="I109" s="20" t="str">
        <x:v>Incomplete purchase never unlocks paid rights</x:v>
      </x:c>
      <x:c r="J109" s="20" t="str">
        <x:v>Unassigned</x:v>
      </x:c>
      <x:c r="K109" s="20" t="str"/>
    </x:row>
    <x:row r="110" ht="31" customHeight="1">
      <x:c r="A110" s="24" t="str">
        <x:v>☐</x:v>
      </x:c>
      <x:c r="B110" s="20" t="str">
        <x:v>FIN-106</x:v>
      </x:c>
      <x:c r="C110" s="20" t="str">
        <x:v>V1</x:v>
      </x:c>
      <x:c r="D110" s="20" t="str">
        <x:v>Billing and monetization</x:v>
      </x:c>
      <x:c r="E110" s="20" t="str">
        <x:v>Pricing and paywall UX</x:v>
      </x:c>
      <x:c r="F110" s="20" t="str">
        <x:v>P0</x:v>
      </x:c>
      <x:c r="G110" s="20" t="str">
        <x:v>62</x:v>
      </x:c>
      <x:c r="H110" s="20" t="str">
        <x:v>Planned</x:v>
      </x:c>
      <x:c r="I110" s="20" t="str">
        <x:v>Feature pricing understandable before payment</x:v>
      </x:c>
      <x:c r="J110" s="20" t="str">
        <x:v>Unassigned</x:v>
      </x:c>
      <x:c r="K110" s="20" t="str"/>
    </x:row>
    <x:row r="111" ht="31" customHeight="1">
      <x:c r="A111" s="24" t="str">
        <x:v>☐</x:v>
      </x:c>
      <x:c r="B111" s="20" t="str">
        <x:v>FIN-107</x:v>
      </x:c>
      <x:c r="C111" s="20" t="str">
        <x:v>V1</x:v>
      </x:c>
      <x:c r="D111" s="20" t="str">
        <x:v>Billing and monetization</x:v>
      </x:c>
      <x:c r="E111" s="20" t="str">
        <x:v>Revenue and conversion telemetry</x:v>
      </x:c>
      <x:c r="F111" s="20" t="str">
        <x:v>P0</x:v>
      </x:c>
      <x:c r="G111" s="20" t="str">
        <x:v>62</x:v>
      </x:c>
      <x:c r="H111" s="20" t="str">
        <x:v>Planned</x:v>
      </x:c>
      <x:c r="I111" s="20" t="str">
        <x:v>Metrics exclude sensitive user transaction content</x:v>
      </x:c>
      <x:c r="J111" s="20" t="str">
        <x:v>Unassigned</x:v>
      </x:c>
      <x:c r="K111" s="20" t="str"/>
    </x:row>
    <x:row r="112" ht="31" customHeight="1">
      <x:c r="A112" s="24" t="str">
        <x:v>☐</x:v>
      </x:c>
      <x:c r="B112" s="20" t="str">
        <x:v>FIN-108</x:v>
      </x:c>
      <x:c r="C112" s="20" t="str">
        <x:v>V1</x:v>
      </x:c>
      <x:c r="D112" s="20" t="str">
        <x:v>Security privacy compliance</x:v>
      </x:c>
      <x:c r="E112" s="20" t="str">
        <x:v>Data minimization policy</x:v>
      </x:c>
      <x:c r="F112" s="20" t="str">
        <x:v>P1</x:v>
      </x:c>
      <x:c r="G112" s="20" t="str">
        <x:v>69</x:v>
      </x:c>
      <x:c r="H112" s="20" t="str">
        <x:v>Planned</x:v>
      </x:c>
      <x:c r="I112" s="20" t="str">
        <x:v>Financial PII not sent to analytics/logs by default</x:v>
      </x:c>
      <x:c r="J112" s="20" t="str">
        <x:v>Unassigned</x:v>
      </x:c>
      <x:c r="K112" s="20" t="str"/>
    </x:row>
    <x:row r="113" ht="31" customHeight="1">
      <x:c r="A113" s="24" t="str">
        <x:v>☐</x:v>
      </x:c>
      <x:c r="B113" s="20" t="str">
        <x:v>FIN-109</x:v>
      </x:c>
      <x:c r="C113" s="20" t="str">
        <x:v>V1</x:v>
      </x:c>
      <x:c r="D113" s="20" t="str">
        <x:v>Security privacy compliance</x:v>
      </x:c>
      <x:c r="E113" s="20" t="str">
        <x:v>Encryption in transit and at rest</x:v>
      </x:c>
      <x:c r="F113" s="20" t="str">
        <x:v>P1</x:v>
      </x:c>
      <x:c r="G113" s="20" t="str">
        <x:v>69</x:v>
      </x:c>
      <x:c r="H113" s="20" t="str">
        <x:v>Planned</x:v>
      </x:c>
      <x:c r="I113" s="20" t="str">
        <x:v>Managed encryption and TLS configured</x:v>
      </x:c>
      <x:c r="J113" s="20" t="str">
        <x:v>Unassigned</x:v>
      </x:c>
      <x:c r="K113" s="20" t="str"/>
    </x:row>
    <x:row r="114" ht="31" customHeight="1">
      <x:c r="A114" s="24" t="str">
        <x:v>☐</x:v>
      </x:c>
      <x:c r="B114" s="20" t="str">
        <x:v>FIN-110</x:v>
      </x:c>
      <x:c r="C114" s="20" t="str">
        <x:v>V1</x:v>
      </x:c>
      <x:c r="D114" s="20" t="str">
        <x:v>Security privacy compliance</x:v>
      </x:c>
      <x:c r="E114" s="20" t="str">
        <x:v>Fine-grained authorization</x:v>
      </x:c>
      <x:c r="F114" s="20" t="str">
        <x:v>P1</x:v>
      </x:c>
      <x:c r="G114" s="20" t="str">
        <x:v>69</x:v>
      </x:c>
      <x:c r="H114" s="20" t="str">
        <x:v>Planned</x:v>
      </x:c>
      <x:c r="I114" s="20" t="str">
        <x:v>Cross-account and CA scopes verified in API tests</x:v>
      </x:c>
      <x:c r="J114" s="20" t="str">
        <x:v>Unassigned</x:v>
      </x:c>
      <x:c r="K114" s="20" t="str"/>
    </x:row>
    <x:row r="115" ht="31" customHeight="1">
      <x:c r="A115" s="24" t="str">
        <x:v>☐</x:v>
      </x:c>
      <x:c r="B115" s="20" t="str">
        <x:v>FIN-111</x:v>
      </x:c>
      <x:c r="C115" s="20" t="str">
        <x:v>V1</x:v>
      </x:c>
      <x:c r="D115" s="20" t="str">
        <x:v>Security privacy compliance</x:v>
      </x:c>
      <x:c r="E115" s="20" t="str">
        <x:v>Secrets manager and key rotation approach</x:v>
      </x:c>
      <x:c r="F115" s="20" t="str">
        <x:v>P1</x:v>
      </x:c>
      <x:c r="G115" s="20" t="str">
        <x:v>69</x:v>
      </x:c>
      <x:c r="H115" s="20" t="str">
        <x:v>Planned</x:v>
      </x:c>
      <x:c r="I115" s="20" t="str">
        <x:v>Secret values are never committed</x:v>
      </x:c>
      <x:c r="J115" s="20" t="str">
        <x:v>Unassigned</x:v>
      </x:c>
      <x:c r="K115" s="20" t="str"/>
    </x:row>
    <x:row r="116" ht="31" customHeight="1">
      <x:c r="A116" s="24" t="str">
        <x:v>☐</x:v>
      </x:c>
      <x:c r="B116" s="20" t="str">
        <x:v>FIN-112</x:v>
      </x:c>
      <x:c r="C116" s="20" t="str">
        <x:v>V1</x:v>
      </x:c>
      <x:c r="D116" s="20" t="str">
        <x:v>Security privacy compliance</x:v>
      </x:c>
      <x:c r="E116" s="20" t="str">
        <x:v>Private storage + signed reads</x:v>
      </x:c>
      <x:c r="F116" s="20" t="str">
        <x:v>P1</x:v>
      </x:c>
      <x:c r="G116" s="20" t="str">
        <x:v>69</x:v>
      </x:c>
      <x:c r="H116" s="20" t="str">
        <x:v>Planned</x:v>
      </x:c>
      <x:c r="I116" s="20" t="str">
        <x:v>No public bucket or guessable files</x:v>
      </x:c>
      <x:c r="J116" s="20" t="str">
        <x:v>Unassigned</x:v>
      </x:c>
      <x:c r="K116" s="20" t="str"/>
    </x:row>
    <x:row r="117" ht="31" customHeight="1">
      <x:c r="A117" s="24" t="str">
        <x:v>☐</x:v>
      </x:c>
      <x:c r="B117" s="20" t="str">
        <x:v>FIN-113</x:v>
      </x:c>
      <x:c r="C117" s="20" t="str">
        <x:v>V1</x:v>
      </x:c>
      <x:c r="D117" s="20" t="str">
        <x:v>Security privacy compliance</x:v>
      </x:c>
      <x:c r="E117" s="20" t="str">
        <x:v>Upload malware and content checks</x:v>
      </x:c>
      <x:c r="F117" s="20" t="str">
        <x:v>P1</x:v>
      </x:c>
      <x:c r="G117" s="20" t="str">
        <x:v>69</x:v>
      </x:c>
      <x:c r="H117" s="20" t="str">
        <x:v>Planned</x:v>
      </x:c>
      <x:c r="I117" s="20" t="str">
        <x:v>Suspicious files quarantined/rejected</x:v>
      </x:c>
      <x:c r="J117" s="20" t="str">
        <x:v>Unassigned</x:v>
      </x:c>
      <x:c r="K117" s="20" t="str"/>
    </x:row>
    <x:row r="118" ht="31" customHeight="1">
      <x:c r="A118" s="24" t="str">
        <x:v>☐</x:v>
      </x:c>
      <x:c r="B118" s="20" t="str">
        <x:v>FIN-114</x:v>
      </x:c>
      <x:c r="C118" s="20" t="str">
        <x:v>V1</x:v>
      </x:c>
      <x:c r="D118" s="20" t="str">
        <x:v>Security privacy compliance</x:v>
      </x:c>
      <x:c r="E118" s="20" t="str">
        <x:v>Import processor isolation</x:v>
      </x:c>
      <x:c r="F118" s="20" t="str">
        <x:v>P1</x:v>
      </x:c>
      <x:c r="G118" s="20" t="str">
        <x:v>69</x:v>
      </x:c>
      <x:c r="H118" s="20" t="str">
        <x:v>Planned</x:v>
      </x:c>
      <x:c r="I118" s="20" t="str">
        <x:v>Untrusted PDFs cannot execute arbitrary code</x:v>
      </x:c>
      <x:c r="J118" s="20" t="str">
        <x:v>Unassigned</x:v>
      </x:c>
      <x:c r="K118" s="20" t="str"/>
    </x:row>
    <x:row r="119" ht="31" customHeight="1">
      <x:c r="A119" s="24" t="str">
        <x:v>☐</x:v>
      </x:c>
      <x:c r="B119" s="20" t="str">
        <x:v>FIN-115</x:v>
      </x:c>
      <x:c r="C119" s="20" t="str">
        <x:v>V1</x:v>
      </x:c>
      <x:c r="D119" s="20" t="str">
        <x:v>Security privacy compliance</x:v>
      </x:c>
      <x:c r="E119" s="20" t="str">
        <x:v>Privacy notice and opt-in consent</x:v>
      </x:c>
      <x:c r="F119" s="20" t="str">
        <x:v>P1</x:v>
      </x:c>
      <x:c r="G119" s="20" t="str">
        <x:v>69</x:v>
      </x:c>
      <x:c r="H119" s="20" t="str">
        <x:v>Planned</x:v>
      </x:c>
      <x:c r="I119" s="20" t="str">
        <x:v>Data use documented and required consents recorded</x:v>
      </x:c>
      <x:c r="J119" s="20" t="str">
        <x:v>Unassigned</x:v>
      </x:c>
      <x:c r="K119" s="20" t="str"/>
    </x:row>
    <x:row r="120" ht="31" customHeight="1">
      <x:c r="A120" s="24" t="str">
        <x:v>☐</x:v>
      </x:c>
      <x:c r="B120" s="20" t="str">
        <x:v>FIN-116</x:v>
      </x:c>
      <x:c r="C120" s="20" t="str">
        <x:v>V1</x:v>
      </x:c>
      <x:c r="D120" s="20" t="str">
        <x:v>Security privacy compliance</x:v>
      </x:c>
      <x:c r="E120" s="20" t="str">
        <x:v>Data export function</x:v>
      </x:c>
      <x:c r="F120" s="20" t="str">
        <x:v>P1</x:v>
      </x:c>
      <x:c r="G120" s="20" t="str">
        <x:v>69</x:v>
      </x:c>
      <x:c r="H120" s="20" t="str">
        <x:v>Planned</x:v>
      </x:c>
      <x:c r="I120" s="20" t="str">
        <x:v>User can export own data safely</x:v>
      </x:c>
      <x:c r="J120" s="20" t="str">
        <x:v>Unassigned</x:v>
      </x:c>
      <x:c r="K120" s="20" t="str"/>
    </x:row>
    <x:row r="121" ht="31" customHeight="1">
      <x:c r="A121" s="24" t="str">
        <x:v>☐</x:v>
      </x:c>
      <x:c r="B121" s="20" t="str">
        <x:v>FIN-117</x:v>
      </x:c>
      <x:c r="C121" s="20" t="str">
        <x:v>V1</x:v>
      </x:c>
      <x:c r="D121" s="20" t="str">
        <x:v>Security privacy compliance</x:v>
      </x:c>
      <x:c r="E121" s="20" t="str">
        <x:v>Deletion request function</x:v>
      </x:c>
      <x:c r="F121" s="20" t="str">
        <x:v>P1</x:v>
      </x:c>
      <x:c r="G121" s="20" t="str">
        <x:v>69</x:v>
      </x:c>
      <x:c r="H121" s="20" t="str">
        <x:v>Planned</x:v>
      </x:c>
      <x:c r="I121" s="20" t="str">
        <x:v>Data removed or retained according to documented policy</x:v>
      </x:c>
      <x:c r="J121" s="20" t="str">
        <x:v>Unassigned</x:v>
      </x:c>
      <x:c r="K121" s="20" t="str"/>
    </x:row>
    <x:row r="122" ht="31" customHeight="1">
      <x:c r="A122" s="24" t="str">
        <x:v>☐</x:v>
      </x:c>
      <x:c r="B122" s="20" t="str">
        <x:v>FIN-118</x:v>
      </x:c>
      <x:c r="C122" s="20" t="str">
        <x:v>V1</x:v>
      </x:c>
      <x:c r="D122" s="20" t="str">
        <x:v>Security privacy compliance</x:v>
      </x:c>
      <x:c r="E122" s="20" t="str">
        <x:v>Session/device security</x:v>
      </x:c>
      <x:c r="F122" s="20" t="str">
        <x:v>P1</x:v>
      </x:c>
      <x:c r="G122" s="20" t="str">
        <x:v>69</x:v>
      </x:c>
      <x:c r="H122" s="20" t="str">
        <x:v>Planned</x:v>
      </x:c>
      <x:c r="I122" s="20" t="str">
        <x:v>Privileged sessions handled securely</x:v>
      </x:c>
      <x:c r="J122" s="20" t="str">
        <x:v>Unassigned</x:v>
      </x:c>
      <x:c r="K122" s="20" t="str"/>
    </x:row>
    <x:row r="123" ht="31" customHeight="1">
      <x:c r="A123" s="24" t="str">
        <x:v>☐</x:v>
      </x:c>
      <x:c r="B123" s="20" t="str">
        <x:v>FIN-119</x:v>
      </x:c>
      <x:c r="C123" s="20" t="str">
        <x:v>V1</x:v>
      </x:c>
      <x:c r="D123" s="20" t="str">
        <x:v>Security privacy compliance</x:v>
      </x:c>
      <x:c r="E123" s="20" t="str">
        <x:v>Audit logging and retention</x:v>
      </x:c>
      <x:c r="F123" s="20" t="str">
        <x:v>P1</x:v>
      </x:c>
      <x:c r="G123" s="20" t="str">
        <x:v>69</x:v>
      </x:c>
      <x:c r="H123" s="20" t="str">
        <x:v>Planned</x:v>
      </x:c>
      <x:c r="I123" s="20" t="str">
        <x:v>Sensitive operations logged without raw documents</x:v>
      </x:c>
      <x:c r="J123" s="20" t="str">
        <x:v>Unassigned</x:v>
      </x:c>
      <x:c r="K123" s="20" t="str"/>
    </x:row>
    <x:row r="124" ht="31" customHeight="1">
      <x:c r="A124" s="24" t="str">
        <x:v>☐</x:v>
      </x:c>
      <x:c r="B124" s="20" t="str">
        <x:v>FIN-120</x:v>
      </x:c>
      <x:c r="C124" s="20" t="str">
        <x:v>V1</x:v>
      </x:c>
      <x:c r="D124" s="20" t="str">
        <x:v>Security privacy compliance</x:v>
      </x:c>
      <x:c r="E124" s="20" t="str">
        <x:v>Abuse prevention and throttling</x:v>
      </x:c>
      <x:c r="F124" s="20" t="str">
        <x:v>P1</x:v>
      </x:c>
      <x:c r="G124" s="20" t="str">
        <x:v>69</x:v>
      </x:c>
      <x:c r="H124" s="20" t="str">
        <x:v>Planned</x:v>
      </x:c>
      <x:c r="I124" s="20" t="str">
        <x:v>Expensive AI and auth endpoints rate-limited</x:v>
      </x:c>
      <x:c r="J124" s="20" t="str">
        <x:v>Unassigned</x:v>
      </x:c>
      <x:c r="K124" s="20" t="str"/>
    </x:row>
    <x:row r="125" ht="31" customHeight="1">
      <x:c r="A125" s="24" t="str">
        <x:v>☐</x:v>
      </x:c>
      <x:c r="B125" s="20" t="str">
        <x:v>FIN-121</x:v>
      </x:c>
      <x:c r="C125" s="20" t="str">
        <x:v>V1</x:v>
      </x:c>
      <x:c r="D125" s="20" t="str">
        <x:v>Security privacy compliance</x:v>
      </x:c>
      <x:c r="E125" s="20" t="str">
        <x:v>Security dependency scanning</x:v>
      </x:c>
      <x:c r="F125" s="20" t="str">
        <x:v>P1</x:v>
      </x:c>
      <x:c r="G125" s="20" t="str">
        <x:v>69</x:v>
      </x:c>
      <x:c r="H125" s="20" t="str">
        <x:v>Planned</x:v>
      </x:c>
      <x:c r="I125" s="20" t="str">
        <x:v>CI scans dependencies and secrets</x:v>
      </x:c>
      <x:c r="J125" s="20" t="str">
        <x:v>Unassigned</x:v>
      </x:c>
      <x:c r="K125" s="20" t="str"/>
    </x:row>
    <x:row r="126" ht="31" customHeight="1">
      <x:c r="A126" s="24" t="str">
        <x:v>☐</x:v>
      </x:c>
      <x:c r="B126" s="20" t="str">
        <x:v>FIN-122</x:v>
      </x:c>
      <x:c r="C126" s="20" t="str">
        <x:v>V1</x:v>
      </x:c>
      <x:c r="D126" s="20" t="str">
        <x:v>Security privacy compliance</x:v>
      </x:c>
      <x:c r="E126" s="20" t="str">
        <x:v>Automated backup and restore test</x:v>
      </x:c>
      <x:c r="F126" s="20" t="str">
        <x:v>P1</x:v>
      </x:c>
      <x:c r="G126" s="20" t="str">
        <x:v>69</x:v>
      </x:c>
      <x:c r="H126" s="20" t="str">
        <x:v>Planned</x:v>
      </x:c>
      <x:c r="I126" s="20" t="str">
        <x:v>Restore exercise succeeds from backup</x:v>
      </x:c>
      <x:c r="J126" s="20" t="str">
        <x:v>Unassigned</x:v>
      </x:c>
      <x:c r="K126" s="20" t="str"/>
    </x:row>
    <x:row r="127" ht="31" customHeight="1">
      <x:c r="A127" s="24" t="str">
        <x:v>☐</x:v>
      </x:c>
      <x:c r="B127" s="20" t="str">
        <x:v>FIN-123</x:v>
      </x:c>
      <x:c r="C127" s="20" t="str">
        <x:v>V1</x:v>
      </x:c>
      <x:c r="D127" s="20" t="str">
        <x:v>Security privacy compliance</x:v>
      </x:c>
      <x:c r="E127" s="20" t="str">
        <x:v>Incident response guide and contact</x:v>
      </x:c>
      <x:c r="F127" s="20" t="str">
        <x:v>P1</x:v>
      </x:c>
      <x:c r="G127" s="20" t="str">
        <x:v>69</x:v>
      </x:c>
      <x:c r="H127" s="20" t="str">
        <x:v>Planned</x:v>
      </x:c>
      <x:c r="I127" s="20" t="str">
        <x:v>Operational roles and escalation steps documented</x:v>
      </x:c>
      <x:c r="J127" s="20" t="str">
        <x:v>Unassigned</x:v>
      </x:c>
      <x:c r="K127" s="20" t="str"/>
    </x:row>
    <x:row r="128" ht="31" customHeight="1">
      <x:c r="A128" s="24" t="str">
        <x:v>☐</x:v>
      </x:c>
      <x:c r="B128" s="20" t="str">
        <x:v>FIN-124</x:v>
      </x:c>
      <x:c r="C128" s="20" t="str">
        <x:v>V1</x:v>
      </x:c>
      <x:c r="D128" s="20" t="str">
        <x:v>Security privacy compliance</x:v>
      </x:c>
      <x:c r="E128" s="20" t="str">
        <x:v>Legal/privacy review gate</x:v>
      </x:c>
      <x:c r="F128" s="20" t="str">
        <x:v>P1</x:v>
      </x:c>
      <x:c r="G128" s="20" t="str">
        <x:v>69</x:v>
      </x:c>
      <x:c r="H128" s="20" t="str">
        <x:v>Planned</x:v>
      </x:c>
      <x:c r="I128" s="20" t="str">
        <x:v>External professional review before real-data release</x:v>
      </x:c>
      <x:c r="J128" s="20" t="str">
        <x:v>Unassigned</x:v>
      </x:c>
      <x:c r="K128" s="20" t="str"/>
    </x:row>
    <x:row r="129" ht="31" customHeight="1">
      <x:c r="A129" s="24" t="str">
        <x:v>☐</x:v>
      </x:c>
      <x:c r="B129" s="20" t="str">
        <x:v>FIN-125</x:v>
      </x:c>
      <x:c r="C129" s="20" t="str">
        <x:v>V1</x:v>
      </x:c>
      <x:c r="D129" s="20" t="str">
        <x:v>Security privacy compliance</x:v>
      </x:c>
      <x:c r="E129" s="20" t="str">
        <x:v>External security review gate</x:v>
      </x:c>
      <x:c r="F129" s="20" t="str">
        <x:v>P1</x:v>
      </x:c>
      <x:c r="G129" s="20" t="str">
        <x:v>69</x:v>
      </x:c>
      <x:c r="H129" s="20" t="str">
        <x:v>Planned</x:v>
      </x:c>
      <x:c r="I129" s="20" t="str">
        <x:v>No unresolved critical/high issues before launch</x:v>
      </x:c>
      <x:c r="J129" s="20" t="str">
        <x:v>Unassigned</x:v>
      </x:c>
      <x:c r="K129" s="20" t="str"/>
    </x:row>
    <x:row r="130" ht="31" customHeight="1">
      <x:c r="A130" s="24" t="str">
        <x:v>☐</x:v>
      </x:c>
      <x:c r="B130" s="20" t="str">
        <x:v>FIN-126</x:v>
      </x:c>
      <x:c r="C130" s="20" t="str">
        <x:v>V1</x:v>
      </x:c>
      <x:c r="D130" s="20" t="str">
        <x:v>Security privacy compliance</x:v>
      </x:c>
      <x:c r="E130" s="20" t="str">
        <x:v>Third-party processor register</x:v>
      </x:c>
      <x:c r="F130" s="20" t="str">
        <x:v>P1</x:v>
      </x:c>
      <x:c r="G130" s="20" t="str">
        <x:v>69</x:v>
      </x:c>
      <x:c r="H130" s="20" t="str">
        <x:v>Planned</x:v>
      </x:c>
      <x:c r="I130" s="20" t="str">
        <x:v>AI, email, hosting and payment processors documented</x:v>
      </x:c>
      <x:c r="J130" s="20" t="str">
        <x:v>Unassigned</x:v>
      </x:c>
      <x:c r="K130" s="20" t="str"/>
    </x:row>
    <x:row r="131" ht="31" customHeight="1">
      <x:c r="A131" s="24" t="str">
        <x:v>☐</x:v>
      </x:c>
      <x:c r="B131" s="20" t="str">
        <x:v>FIN-127</x:v>
      </x:c>
      <x:c r="C131" s="20" t="str">
        <x:v>V1</x:v>
      </x:c>
      <x:c r="D131" s="20" t="str">
        <x:v>Infrastructure quality operations</x:v>
      </x:c>
      <x:c r="E131" s="20" t="str">
        <x:v>Modular monolith and DB migrations</x:v>
      </x:c>
      <x:c r="F131" s="20" t="str">
        <x:v>P1</x:v>
      </x:c>
      <x:c r="G131" s="20" t="str">
        <x:v>74</x:v>
      </x:c>
      <x:c r="H131" s="20" t="str">
        <x:v>Planned</x:v>
      </x:c>
      <x:c r="I131" s="20" t="str">
        <x:v>APIs and migrations reproducible from clean checkout</x:v>
      </x:c>
      <x:c r="J131" s="20" t="str">
        <x:v>Unassigned</x:v>
      </x:c>
      <x:c r="K131" s="20" t="str"/>
    </x:row>
    <x:row r="132" ht="31" customHeight="1">
      <x:c r="A132" s="24" t="str">
        <x:v>☐</x:v>
      </x:c>
      <x:c r="B132" s="20" t="str">
        <x:v>FIN-128</x:v>
      </x:c>
      <x:c r="C132" s="20" t="str">
        <x:v>V1</x:v>
      </x:c>
      <x:c r="D132" s="20" t="str">
        <x:v>Infrastructure quality operations</x:v>
      </x:c>
      <x:c r="E132" s="20" t="str">
        <x:v>CI test/lint/typecheck</x:v>
      </x:c>
      <x:c r="F132" s="20" t="str">
        <x:v>P1</x:v>
      </x:c>
      <x:c r="G132" s="20" t="str">
        <x:v>74</x:v>
      </x:c>
      <x:c r="H132" s="20" t="str">
        <x:v>Planned</x:v>
      </x:c>
      <x:c r="I132" s="20" t="str">
        <x:v>Every PR blocks on core checks</x:v>
      </x:c>
      <x:c r="J132" s="20" t="str">
        <x:v>Unassigned</x:v>
      </x:c>
      <x:c r="K132" s="20" t="str"/>
    </x:row>
    <x:row r="133" ht="31" customHeight="1">
      <x:c r="A133" s="24" t="str">
        <x:v>☐</x:v>
      </x:c>
      <x:c r="B133" s="20" t="str">
        <x:v>FIN-129</x:v>
      </x:c>
      <x:c r="C133" s="20" t="str">
        <x:v>V1</x:v>
      </x:c>
      <x:c r="D133" s="20" t="str">
        <x:v>Infrastructure quality operations</x:v>
      </x:c>
      <x:c r="E133" s="20" t="str">
        <x:v>Staging and production separation</x:v>
      </x:c>
      <x:c r="F133" s="20" t="str">
        <x:v>P1</x:v>
      </x:c>
      <x:c r="G133" s="20" t="str">
        <x:v>74</x:v>
      </x:c>
      <x:c r="H133" s="20" t="str">
        <x:v>Planned</x:v>
      </x:c>
      <x:c r="I133" s="20" t="str">
        <x:v>No shared sensitive database or secrets</x:v>
      </x:c>
      <x:c r="J133" s="20" t="str">
        <x:v>Unassigned</x:v>
      </x:c>
      <x:c r="K133" s="20" t="str"/>
    </x:row>
    <x:row r="134" ht="31" customHeight="1">
      <x:c r="A134" s="24" t="str">
        <x:v>☐</x:v>
      </x:c>
      <x:c r="B134" s="20" t="str">
        <x:v>FIN-130</x:v>
      </x:c>
      <x:c r="C134" s="20" t="str">
        <x:v>V1</x:v>
      </x:c>
      <x:c r="D134" s="20" t="str">
        <x:v>Infrastructure quality operations</x:v>
      </x:c>
      <x:c r="E134" s="20" t="str">
        <x:v>Background job reliability</x:v>
      </x:c>
      <x:c r="F134" s="20" t="str">
        <x:v>P1</x:v>
      </x:c>
      <x:c r="G134" s="20" t="str">
        <x:v>74</x:v>
      </x:c>
      <x:c r="H134" s="20" t="str">
        <x:v>Planned</x:v>
      </x:c>
      <x:c r="I134" s="20" t="str">
        <x:v>Retries, dead-letter and error visibility working</x:v>
      </x:c>
      <x:c r="J134" s="20" t="str">
        <x:v>Unassigned</x:v>
      </x:c>
      <x:c r="K134" s="20" t="str"/>
    </x:row>
    <x:row r="135" ht="31" customHeight="1">
      <x:c r="A135" s="24" t="str">
        <x:v>☐</x:v>
      </x:c>
      <x:c r="B135" s="20" t="str">
        <x:v>FIN-131</x:v>
      </x:c>
      <x:c r="C135" s="20" t="str">
        <x:v>V1</x:v>
      </x:c>
      <x:c r="D135" s="20" t="str">
        <x:v>Infrastructure quality operations</x:v>
      </x:c>
      <x:c r="E135" s="20" t="str">
        <x:v>Financial fixture regression suite</x:v>
      </x:c>
      <x:c r="F135" s="20" t="str">
        <x:v>P1</x:v>
      </x:c>
      <x:c r="G135" s="20" t="str">
        <x:v>74</x:v>
      </x:c>
      <x:c r="H135" s="20" t="str">
        <x:v>Planned</x:v>
      </x:c>
      <x:c r="I135" s="20" t="str">
        <x:v>Golden expected-output fixtures included</x:v>
      </x:c>
      <x:c r="J135" s="20" t="str">
        <x:v>Unassigned</x:v>
      </x:c>
      <x:c r="K135" s="20" t="str"/>
    </x:row>
    <x:row r="136" ht="31" customHeight="1">
      <x:c r="A136" s="24" t="str">
        <x:v>☐</x:v>
      </x:c>
      <x:c r="B136" s="20" t="str">
        <x:v>FIN-132</x:v>
      </x:c>
      <x:c r="C136" s="20" t="str">
        <x:v>V1</x:v>
      </x:c>
      <x:c r="D136" s="20" t="str">
        <x:v>Infrastructure quality operations</x:v>
      </x:c>
      <x:c r="E136" s="20" t="str">
        <x:v>Integration tests import-to-dashboard</x:v>
      </x:c>
      <x:c r="F136" s="20" t="str">
        <x:v>P1</x:v>
      </x:c>
      <x:c r="G136" s="20" t="str">
        <x:v>74</x:v>
      </x:c>
      <x:c r="H136" s="20" t="str">
        <x:v>Planned</x:v>
      </x:c>
      <x:c r="I136" s="20" t="str">
        <x:v>Test flows run in CI</x:v>
      </x:c>
      <x:c r="J136" s="20" t="str">
        <x:v>Unassigned</x:v>
      </x:c>
      <x:c r="K136" s="20" t="str"/>
    </x:row>
    <x:row r="137" ht="31" customHeight="1">
      <x:c r="A137" s="24" t="str">
        <x:v>☐</x:v>
      </x:c>
      <x:c r="B137" s="20" t="str">
        <x:v>FIN-133</x:v>
      </x:c>
      <x:c r="C137" s="20" t="str">
        <x:v>V1</x:v>
      </x:c>
      <x:c r="D137" s="20" t="str">
        <x:v>Infrastructure quality operations</x:v>
      </x:c>
      <x:c r="E137" s="20" t="str">
        <x:v>E2E smoke and billing tests</x:v>
      </x:c>
      <x:c r="F137" s="20" t="str">
        <x:v>P1</x:v>
      </x:c>
      <x:c r="G137" s="20" t="str">
        <x:v>74</x:v>
      </x:c>
      <x:c r="H137" s="20" t="str">
        <x:v>Planned</x:v>
      </x:c>
      <x:c r="I137" s="20" t="str">
        <x:v>Sandbox flow validated on every release</x:v>
      </x:c>
      <x:c r="J137" s="20" t="str">
        <x:v>Unassigned</x:v>
      </x:c>
      <x:c r="K137" s="20" t="str"/>
    </x:row>
    <x:row r="138" ht="31" customHeight="1">
      <x:c r="A138" s="24" t="str">
        <x:v>☐</x:v>
      </x:c>
      <x:c r="B138" s="20" t="str">
        <x:v>FIN-134</x:v>
      </x:c>
      <x:c r="C138" s="20" t="str">
        <x:v>V1</x:v>
      </x:c>
      <x:c r="D138" s="20" t="str">
        <x:v>Infrastructure quality operations</x:v>
      </x:c>
      <x:c r="E138" s="20" t="str">
        <x:v>Monitoring and error alerts</x:v>
      </x:c>
      <x:c r="F138" s="20" t="str">
        <x:v>P1</x:v>
      </x:c>
      <x:c r="G138" s="20" t="str">
        <x:v>74</x:v>
      </x:c>
      <x:c r="H138" s="20" t="str">
        <x:v>Planned</x:v>
      </x:c>
      <x:c r="I138" s="20" t="str">
        <x:v>Logs and exceptions reach configured owner</x:v>
      </x:c>
      <x:c r="J138" s="20" t="str">
        <x:v>Unassigned</x:v>
      </x:c>
      <x:c r="K138" s="20" t="str"/>
    </x:row>
    <x:row r="139" ht="31" customHeight="1">
      <x:c r="A139" s="24" t="str">
        <x:v>☐</x:v>
      </x:c>
      <x:c r="B139" s="20" t="str">
        <x:v>FIN-135</x:v>
      </x:c>
      <x:c r="C139" s="20" t="str">
        <x:v>V1</x:v>
      </x:c>
      <x:c r="D139" s="20" t="str">
        <x:v>Infrastructure quality operations</x:v>
      </x:c>
      <x:c r="E139" s="20" t="str">
        <x:v>Observability privacy guards</x:v>
      </x:c>
      <x:c r="F139" s="20" t="str">
        <x:v>P1</x:v>
      </x:c>
      <x:c r="G139" s="20" t="str">
        <x:v>74</x:v>
      </x:c>
      <x:c r="H139" s="20" t="str">
        <x:v>Planned</x:v>
      </x:c>
      <x:c r="I139" s="20" t="str">
        <x:v>Logging fields are sanitized and sampled</x:v>
      </x:c>
      <x:c r="J139" s="20" t="str">
        <x:v>Unassigned</x:v>
      </x:c>
      <x:c r="K139" s="20" t="str"/>
    </x:row>
    <x:row r="140" ht="31" customHeight="1">
      <x:c r="A140" s="24" t="str">
        <x:v>☐</x:v>
      </x:c>
      <x:c r="B140" s="20" t="str">
        <x:v>FIN-136</x:v>
      </x:c>
      <x:c r="C140" s="20" t="str">
        <x:v>V1</x:v>
      </x:c>
      <x:c r="D140" s="20" t="str">
        <x:v>Infrastructure quality operations</x:v>
      </x:c>
      <x:c r="E140" s="20" t="str">
        <x:v>Performance load tests</x:v>
      </x:c>
      <x:c r="F140" s="20" t="str">
        <x:v>P1</x:v>
      </x:c>
      <x:c r="G140" s="20" t="str">
        <x:v>74</x:v>
      </x:c>
      <x:c r="H140" s="20" t="str">
        <x:v>Planned</x:v>
      </x:c>
      <x:c r="I140" s="20" t="str">
        <x:v>Upload and query p95 budgets defined and checked</x:v>
      </x:c>
      <x:c r="J140" s="20" t="str">
        <x:v>Unassigned</x:v>
      </x:c>
      <x:c r="K140" s="20" t="str"/>
    </x:row>
    <x:row r="141" ht="31" customHeight="1">
      <x:c r="A141" s="24" t="str">
        <x:v>☐</x:v>
      </x:c>
      <x:c r="B141" s="20" t="str">
        <x:v>FIN-137</x:v>
      </x:c>
      <x:c r="C141" s="20" t="str">
        <x:v>V1</x:v>
      </x:c>
      <x:c r="D141" s="20" t="str">
        <x:v>Infrastructure quality operations</x:v>
      </x:c>
      <x:c r="E141" s="20" t="str">
        <x:v>Deployment rollback runbook</x:v>
      </x:c>
      <x:c r="F141" s="20" t="str">
        <x:v>P1</x:v>
      </x:c>
      <x:c r="G141" s="20" t="str">
        <x:v>74</x:v>
      </x:c>
      <x:c r="H141" s="20" t="str">
        <x:v>Planned</x:v>
      </x:c>
      <x:c r="I141" s="20" t="str">
        <x:v>Rollback and DB migration safety documented</x:v>
      </x:c>
      <x:c r="J141" s="20" t="str">
        <x:v>Unassigned</x:v>
      </x:c>
      <x:c r="K141" s="20" t="str"/>
    </x:row>
    <x:row r="142" ht="31" customHeight="1">
      <x:c r="A142" s="24" t="str">
        <x:v>☐</x:v>
      </x:c>
      <x:c r="B142" s="20" t="str">
        <x:v>FIN-138</x:v>
      </x:c>
      <x:c r="C142" s="20" t="str">
        <x:v>V1</x:v>
      </x:c>
      <x:c r="D142" s="20" t="str">
        <x:v>Infrastructure quality operations</x:v>
      </x:c>
      <x:c r="E142" s="20" t="str">
        <x:v>Data recovery exercise</x:v>
      </x:c>
      <x:c r="F142" s="20" t="str">
        <x:v>P1</x:v>
      </x:c>
      <x:c r="G142" s="20" t="str">
        <x:v>74</x:v>
      </x:c>
      <x:c r="H142" s="20" t="str">
        <x:v>Planned</x:v>
      </x:c>
      <x:c r="I142" s="20" t="str">
        <x:v>Backups restore readable user records</x:v>
      </x:c>
      <x:c r="J142" s="20" t="str">
        <x:v>Unassigned</x:v>
      </x:c>
      <x:c r="K142" s="20" t="str"/>
    </x:row>
    <x:row r="143" ht="31" customHeight="1">
      <x:c r="A143" s="24" t="str">
        <x:v>☐</x:v>
      </x:c>
      <x:c r="B143" s="20" t="str">
        <x:v>FIN-139</x:v>
      </x:c>
      <x:c r="C143" s="20" t="str">
        <x:v>V1</x:v>
      </x:c>
      <x:c r="D143" s="20" t="str">
        <x:v>Infrastructure quality operations</x:v>
      </x:c>
      <x:c r="E143" s="20" t="str">
        <x:v>Product support ticketing</x:v>
      </x:c>
      <x:c r="F143" s="20" t="str">
        <x:v>P1</x:v>
      </x:c>
      <x:c r="G143" s="20" t="str">
        <x:v>74</x:v>
      </x:c>
      <x:c r="H143" s="20" t="str">
        <x:v>Planned</x:v>
      </x:c>
      <x:c r="I143" s="20" t="str">
        <x:v>Report-problem workflow hides customer financial data by default</x:v>
      </x:c>
      <x:c r="J143" s="20" t="str">
        <x:v>Unassigned</x:v>
      </x:c>
      <x:c r="K143" s="20" t="str"/>
    </x:row>
    <x:row r="144" ht="31" customHeight="1">
      <x:c r="A144" s="24" t="str">
        <x:v>☐</x:v>
      </x:c>
      <x:c r="B144" s="20" t="str">
        <x:v>FIN-140</x:v>
      </x:c>
      <x:c r="C144" s="20" t="str">
        <x:v>V1</x:v>
      </x:c>
      <x:c r="D144" s="20" t="str">
        <x:v>Infrastructure quality operations</x:v>
      </x:c>
      <x:c r="E144" s="20" t="str">
        <x:v>Accessibility and mobile-responsive web</x:v>
      </x:c>
      <x:c r="F144" s="20" t="str">
        <x:v>P1</x:v>
      </x:c>
      <x:c r="G144" s="20" t="str">
        <x:v>74</x:v>
      </x:c>
      <x:c r="H144" s="20" t="str">
        <x:v>Planned</x:v>
      </x:c>
      <x:c r="I144" s="20" t="str">
        <x:v>Core flows usable keyboard/mobile</x:v>
      </x:c>
      <x:c r="J144" s="20" t="str">
        <x:v>Unassigned</x:v>
      </x:c>
      <x:c r="K144" s="20" t="str"/>
    </x:row>
    <x:row r="145" ht="31" customHeight="1">
      <x:c r="A145" s="24" t="str">
        <x:v>☐</x:v>
      </x:c>
      <x:c r="B145" s="20" t="str">
        <x:v>FIN-141</x:v>
      </x:c>
      <x:c r="C145" s="20" t="str">
        <x:v>V1</x:v>
      </x:c>
      <x:c r="D145" s="20" t="str">
        <x:v>Infrastructure quality operations</x:v>
      </x:c>
      <x:c r="E145" s="20" t="str">
        <x:v>Public help/FAQ and known formats list</x:v>
      </x:c>
      <x:c r="F145" s="20" t="str">
        <x:v>P1</x:v>
      </x:c>
      <x:c r="G145" s="20" t="str">
        <x:v>74</x:v>
      </x:c>
      <x:c r="H145" s="20" t="str">
        <x:v>Planned</x:v>
      </x:c>
      <x:c r="I145" s="20" t="str">
        <x:v>Users see supported file formats and limitations</x:v>
      </x:c>
      <x:c r="J145" s="20" t="str">
        <x:v>Unassigned</x:v>
      </x:c>
      <x:c r="K145" s="20" t="str"/>
    </x:row>
    <x:row r="146" ht="31" customHeight="1">
      <x:c r="A146" s="24" t="str">
        <x:v>☐</x:v>
      </x:c>
      <x:c r="B146" s="20" t="str">
        <x:v>FIN-142</x:v>
      </x:c>
      <x:c r="C146" s="20" t="str">
        <x:v>V1</x:v>
      </x:c>
      <x:c r="D146" s="20" t="str">
        <x:v>Infrastructure quality operations</x:v>
      </x:c>
      <x:c r="E146" s="20" t="str">
        <x:v>Release approval checklist</x:v>
      </x:c>
      <x:c r="F146" s="20" t="str">
        <x:v>P1</x:v>
      </x:c>
      <x:c r="G146" s="20" t="str">
        <x:v>74</x:v>
      </x:c>
      <x:c r="H146" s="20" t="str">
        <x:v>Planned</x:v>
      </x:c>
      <x:c r="I146" s="20" t="str">
        <x:v>Launch gates tracked and blockers prevent launch</x:v>
      </x:c>
      <x:c r="J146" s="20" t="str">
        <x:v>Unassigned</x:v>
      </x:c>
      <x:c r="K146" s="20" t="str"/>
    </x:row>
    <x:row r="147" ht="31" customHeight="1">
      <x:c r="A147" s="24" t="str">
        <x:v>☐</x:v>
      </x:c>
      <x:c r="B147" s="20" t="str">
        <x:v>FIN-143</x:v>
      </x:c>
      <x:c r="C147" s="20" t="str">
        <x:v>V1</x:v>
      </x:c>
      <x:c r="D147" s="20" t="str">
        <x:v>Infrastructure quality operations</x:v>
      </x:c>
      <x:c r="E147" s="20" t="str">
        <x:v>Automated GitHub feature tracking</x:v>
      </x:c>
      <x:c r="F147" s="20" t="str">
        <x:v>P1</x:v>
      </x:c>
      <x:c r="G147" s="20" t="str">
        <x:v>74</x:v>
      </x:c>
      <x:c r="H147" s="20" t="str">
        <x:v>Planned</x:v>
      </x:c>
      <x:c r="I147" s="20" t="str">
        <x:v>Issues drive checklist CSV/XLSX and progress docs</x:v>
      </x:c>
      <x:c r="J147" s="20" t="str">
        <x:v>Unassigned</x:v>
      </x:c>
      <x:c r="K147" s="20" t="str"/>
    </x:row>
    <x:row r="148" ht="31" customHeight="1">
      <x:c r="A148" s="24" t="str">
        <x:v>☐</x:v>
      </x:c>
      <x:c r="B148" s="20" t="str">
        <x:v>FIN-144</x:v>
      </x:c>
      <x:c r="C148" s="20" t="str">
        <x:v>V1</x:v>
      </x:c>
      <x:c r="D148" s="20" t="str">
        <x:v>Infrastructure quality operations</x:v>
      </x:c>
      <x:c r="E148" s="20" t="str">
        <x:v>Brand-rename configuration</x:v>
      </x:c>
      <x:c r="F148" s="20" t="str">
        <x:v>P1</x:v>
      </x:c>
      <x:c r="G148" s="20" t="str">
        <x:v>74</x:v>
      </x:c>
      <x:c r="H148" s="20" t="str">
        <x:v>Planned</x:v>
      </x:c>
      <x:c r="I148" s="20" t="str">
        <x:v>Display name can change without changing stable IDs</x:v>
      </x:c>
      <x:c r="J148" s="20" t="str">
        <x:v>Unassigned</x:v>
      </x:c>
      <x:c r="K148" s="20" t="str"/>
    </x:row>
    <x:row r="149" ht="31" customHeight="1">
      <x:c r="A149" s="24" t="str">
        <x:v>☐</x:v>
      </x:c>
      <x:c r="B149" s="20" t="str">
        <x:v>FIN-145</x:v>
      </x:c>
      <x:c r="C149" s="20" t="str">
        <x:v>V1.5</x:v>
      </x:c>
      <x:c r="D149" s="20" t="str">
        <x:v>Expanded personal finance</x:v>
      </x:c>
      <x:c r="E149" s="20" t="str">
        <x:v>Additional bank adapters</x:v>
      </x:c>
      <x:c r="F149" s="20" t="str">
        <x:v>P2</x:v>
      </x:c>
      <x:c r="G149" s="20" t="str"/>
      <x:c r="H149" s="20" t="str">
        <x:v>Planned</x:v>
      </x:c>
      <x:c r="I149" s="20" t="str">
        <x:v>Most demanded banks tested with customer fixtures</x:v>
      </x:c>
      <x:c r="J149" s="20" t="str">
        <x:v>Unassigned</x:v>
      </x:c>
      <x:c r="K149" s="20" t="str"/>
    </x:row>
    <x:row r="150" ht="31" customHeight="1">
      <x:c r="A150" s="24" t="str">
        <x:v>☐</x:v>
      </x:c>
      <x:c r="B150" s="20" t="str">
        <x:v>FIN-146</x:v>
      </x:c>
      <x:c r="C150" s="20" t="str">
        <x:v>V1.5</x:v>
      </x:c>
      <x:c r="D150" s="20" t="str">
        <x:v>Expanded personal finance</x:v>
      </x:c>
      <x:c r="E150" s="20" t="str">
        <x:v>More credit card formats</x:v>
      </x:c>
      <x:c r="F150" s="20" t="str">
        <x:v>P2</x:v>
      </x:c>
      <x:c r="G150" s="20" t="str"/>
      <x:c r="H150" s="20" t="str">
        <x:v>Planned</x:v>
      </x:c>
      <x:c r="I150" s="20" t="str">
        <x:v>Additional supported card parsers with reconciliation</x:v>
      </x:c>
      <x:c r="J150" s="20" t="str">
        <x:v>Unassigned</x:v>
      </x:c>
      <x:c r="K150" s="20" t="str"/>
    </x:row>
    <x:row r="151" ht="31" customHeight="1">
      <x:c r="A151" s="24" t="str">
        <x:v>☐</x:v>
      </x:c>
      <x:c r="B151" s="20" t="str">
        <x:v>FIN-147</x:v>
      </x:c>
      <x:c r="C151" s="20" t="str">
        <x:v>V1.5</x:v>
      </x:c>
      <x:c r="D151" s="20" t="str">
        <x:v>Expanded personal finance</x:v>
      </x:c>
      <x:c r="E151" s="20" t="str">
        <x:v>Goals and budgeting</x:v>
      </x:c>
      <x:c r="F151" s="20" t="str">
        <x:v>P2</x:v>
      </x:c>
      <x:c r="G151" s="20" t="str"/>
      <x:c r="H151" s="20" t="str">
        <x:v>Planned</x:v>
      </x:c>
      <x:c r="I151" s="20" t="str">
        <x:v>Optional goals calculated from user-confirmed inputs</x:v>
      </x:c>
      <x:c r="J151" s="20" t="str">
        <x:v>Unassigned</x:v>
      </x:c>
      <x:c r="K151" s="20" t="str"/>
    </x:row>
    <x:row r="152" ht="31" customHeight="1">
      <x:c r="A152" s="24" t="str">
        <x:v>☐</x:v>
      </x:c>
      <x:c r="B152" s="20" t="str">
        <x:v>FIN-148</x:v>
      </x:c>
      <x:c r="C152" s="20" t="str">
        <x:v>V1.5</x:v>
      </x:c>
      <x:c r="D152" s="20" t="str">
        <x:v>Expanded personal finance</x:v>
      </x:c>
      <x:c r="E152" s="20" t="str">
        <x:v>Manual asset and liability records</x:v>
      </x:c>
      <x:c r="F152" s="20" t="str">
        <x:v>P2</x:v>
      </x:c>
      <x:c r="G152" s="20" t="str"/>
      <x:c r="H152" s="20" t="str">
        <x:v>Planned</x:v>
      </x:c>
      <x:c r="I152" s="20" t="str">
        <x:v>Cash, deposits and loans captured as manual data</x:v>
      </x:c>
      <x:c r="J152" s="20" t="str">
        <x:v>Unassigned</x:v>
      </x:c>
      <x:c r="K152" s="20" t="str"/>
    </x:row>
    <x:row r="153" ht="31" customHeight="1">
      <x:c r="A153" s="24" t="str">
        <x:v>☐</x:v>
      </x:c>
      <x:c r="B153" s="20" t="str">
        <x:v>FIN-149</x:v>
      </x:c>
      <x:c r="C153" s="20" t="str">
        <x:v>V1.5</x:v>
      </x:c>
      <x:c r="D153" s="20" t="str">
        <x:v>Expanded personal finance</x:v>
      </x:c>
      <x:c r="E153" s="20" t="str">
        <x:v>Coverage-aware net-worth summary</x:v>
      </x:c>
      <x:c r="F153" s="20" t="str">
        <x:v>P2</x:v>
      </x:c>
      <x:c r="G153" s="20" t="str"/>
      <x:c r="H153" s="20" t="str">
        <x:v>Planned</x:v>
      </x:c>
      <x:c r="I153" s="20" t="str">
        <x:v>Explicit inclusion/exclusion of manually entered sources</x:v>
      </x:c>
      <x:c r="J153" s="20" t="str">
        <x:v>Unassigned</x:v>
      </x:c>
      <x:c r="K153" s="20" t="str"/>
    </x:row>
    <x:row r="154" ht="31" customHeight="1">
      <x:c r="A154" s="24" t="str">
        <x:v>☐</x:v>
      </x:c>
      <x:c r="B154" s="20" t="str">
        <x:v>FIN-150</x:v>
      </x:c>
      <x:c r="C154" s="20" t="str">
        <x:v>V1.5</x:v>
      </x:c>
      <x:c r="D154" s="20" t="str">
        <x:v>Expanded personal finance</x:v>
      </x:c>
      <x:c r="E154" s="20" t="str">
        <x:v>Family household view</x:v>
      </x:c>
      <x:c r="F154" s="20" t="str">
        <x:v>P2</x:v>
      </x:c>
      <x:c r="G154" s="20" t="str"/>
      <x:c r="H154" s="20" t="str">
        <x:v>Planned</x:v>
      </x:c>
      <x:c r="I154" s="20" t="str">
        <x:v>Opt-in shared finances with role boundaries</x:v>
      </x:c>
      <x:c r="J154" s="20" t="str">
        <x:v>Unassigned</x:v>
      </x:c>
      <x:c r="K154" s="20" t="str"/>
    </x:row>
    <x:row r="155" ht="31" customHeight="1">
      <x:c r="A155" s="24" t="str">
        <x:v>☐</x:v>
      </x:c>
      <x:c r="B155" s="20" t="str">
        <x:v>FIN-151</x:v>
      </x:c>
      <x:c r="C155" s="20" t="str">
        <x:v>V1.5</x:v>
      </x:c>
      <x:c r="D155" s="20" t="str">
        <x:v>Expanded personal finance</x:v>
      </x:c>
      <x:c r="E155" s="20" t="str">
        <x:v>Notification preference center</x:v>
      </x:c>
      <x:c r="F155" s="20" t="str">
        <x:v>P2</x:v>
      </x:c>
      <x:c r="G155" s="20" t="str"/>
      <x:c r="H155" s="20" t="str">
        <x:v>Planned</x:v>
      </x:c>
      <x:c r="I155" s="20" t="str">
        <x:v>Email/app notification channel controls</x:v>
      </x:c>
      <x:c r="J155" s="20" t="str">
        <x:v>Unassigned</x:v>
      </x:c>
      <x:c r="K155" s="20" t="str"/>
    </x:row>
    <x:row r="156" ht="31" customHeight="1">
      <x:c r="A156" s="24" t="str">
        <x:v>☐</x:v>
      </x:c>
      <x:c r="B156" s="20" t="str">
        <x:v>FIN-152</x:v>
      </x:c>
      <x:c r="C156" s="20" t="str">
        <x:v>V1.5</x:v>
      </x:c>
      <x:c r="D156" s="20" t="str">
        <x:v>Expanded personal finance</x:v>
      </x:c>
      <x:c r="E156" s="20" t="str">
        <x:v>Improved merchant classifier</x:v>
      </x:c>
      <x:c r="F156" s="20" t="str">
        <x:v>P2</x:v>
      </x:c>
      <x:c r="G156" s="20" t="str"/>
      <x:c r="H156" s="20" t="str">
        <x:v>Planned</x:v>
      </x:c>
      <x:c r="I156" s="20" t="str">
        <x:v>User-corrected patterns used with privacy controls</x:v>
      </x:c>
      <x:c r="J156" s="20" t="str">
        <x:v>Unassigned</x:v>
      </x:c>
      <x:c r="K156" s="20" t="str"/>
    </x:row>
    <x:row r="157" ht="31" customHeight="1">
      <x:c r="A157" s="24" t="str">
        <x:v>☐</x:v>
      </x:c>
      <x:c r="B157" s="20" t="str">
        <x:v>FIN-153</x:v>
      </x:c>
      <x:c r="C157" s="20" t="str">
        <x:v>V1.5</x:v>
      </x:c>
      <x:c r="D157" s="20" t="str">
        <x:v>Expanded personal finance</x:v>
      </x:c>
      <x:c r="E157" s="20" t="str">
        <x:v>Subscription reminder automation</x:v>
      </x:c>
      <x:c r="F157" s="20" t="str">
        <x:v>P2</x:v>
      </x:c>
      <x:c r="G157" s="20" t="str"/>
      <x:c r="H157" s="20" t="str">
        <x:v>Planned</x:v>
      </x:c>
      <x:c r="I157" s="20" t="str">
        <x:v>Reminder schedule based on verified recurring transactions</x:v>
      </x:c>
      <x:c r="J157" s="20" t="str">
        <x:v>Unassigned</x:v>
      </x:c>
      <x:c r="K157" s="20" t="str"/>
    </x:row>
    <x:row r="158" ht="31" customHeight="1">
      <x:c r="A158" s="24" t="str">
        <x:v>☐</x:v>
      </x:c>
      <x:c r="B158" s="20" t="str">
        <x:v>FIN-154</x:v>
      </x:c>
      <x:c r="C158" s="20" t="str">
        <x:v>V1.5</x:v>
      </x:c>
      <x:c r="D158" s="20" t="str">
        <x:v>Expanded personal finance</x:v>
      </x:c>
      <x:c r="E158" s="20" t="str">
        <x:v>Localization for Indian languages</x:v>
      </x:c>
      <x:c r="F158" s="20" t="str">
        <x:v>P2</x:v>
      </x:c>
      <x:c r="G158" s="20" t="str"/>
      <x:c r="H158" s="20" t="str">
        <x:v>Planned</x:v>
      </x:c>
      <x:c r="I158" s="20" t="str">
        <x:v>Accessibility-checked translations for selected languages</x:v>
      </x:c>
      <x:c r="J158" s="20" t="str">
        <x:v>Unassigned</x:v>
      </x:c>
      <x:c r="K158" s="20" t="str"/>
    </x:row>
    <x:row r="159" ht="31" customHeight="1">
      <x:c r="A159" s="24" t="str">
        <x:v>☐</x:v>
      </x:c>
      <x:c r="B159" s="20" t="str">
        <x:v>FIN-155</x:v>
      </x:c>
      <x:c r="C159" s="20" t="str">
        <x:v>V2</x:v>
      </x:c>
      <x:c r="D159" s="20" t="str">
        <x:v>Advanced tax intelligence</x:v>
      </x:c>
      <x:c r="E159" s="20" t="str">
        <x:v>Professionally verified tax calculation engine</x:v>
      </x:c>
      <x:c r="F159" s="20" t="str">
        <x:v>P2</x:v>
      </x:c>
      <x:c r="G159" s="20" t="str"/>
      <x:c r="H159" s="20" t="str">
        <x:v>Planned</x:v>
      </x:c>
      <x:c r="I159" s="20" t="str">
        <x:v>Tax-year/regime calculation suite independently verified</x:v>
      </x:c>
      <x:c r="J159" s="20" t="str">
        <x:v>Unassigned</x:v>
      </x:c>
      <x:c r="K159" s="20" t="str"/>
    </x:row>
    <x:row r="160" ht="31" customHeight="1">
      <x:c r="A160" s="24" t="str">
        <x:v>☐</x:v>
      </x:c>
      <x:c r="B160" s="20" t="str">
        <x:v>FIN-156</x:v>
      </x:c>
      <x:c r="C160" s="20" t="str">
        <x:v>V2</x:v>
      </x:c>
      <x:c r="D160" s="20" t="str">
        <x:v>Advanced tax intelligence</x:v>
      </x:c>
      <x:c r="E160" s="20" t="str">
        <x:v>Tax regime comparison</x:v>
      </x:c>
      <x:c r="F160" s="20" t="str">
        <x:v>P2</x:v>
      </x:c>
      <x:c r="G160" s="20" t="str"/>
      <x:c r="H160" s="20" t="str">
        <x:v>Planned</x:v>
      </x:c>
      <x:c r="I160" s="20" t="str">
        <x:v>Applicable tax regimes compared by verified rules</x:v>
      </x:c>
      <x:c r="J160" s="20" t="str">
        <x:v>Unassigned</x:v>
      </x:c>
      <x:c r="K160" s="20" t="str"/>
    </x:row>
    <x:row r="161" ht="31" customHeight="1">
      <x:c r="A161" s="24" t="str">
        <x:v>☐</x:v>
      </x:c>
      <x:c r="B161" s="20" t="str">
        <x:v>FIN-157</x:v>
      </x:c>
      <x:c r="C161" s="20" t="str">
        <x:v>V2</x:v>
      </x:c>
      <x:c r="D161" s="20" t="str">
        <x:v>Advanced tax intelligence</x:v>
      </x:c>
      <x:c r="E161" s="20" t="str">
        <x:v>Capital gains statement normalization</x:v>
      </x:c>
      <x:c r="F161" s="20" t="str">
        <x:v>P2</x:v>
      </x:c>
      <x:c r="G161" s="20" t="str"/>
      <x:c r="H161" s="20" t="str">
        <x:v>Planned</x:v>
      </x:c>
      <x:c r="I161" s="20" t="str">
        <x:v>Supported broker statements normalized with traceability</x:v>
      </x:c>
      <x:c r="J161" s="20" t="str">
        <x:v>Unassigned</x:v>
      </x:c>
      <x:c r="K161" s="20" t="str"/>
    </x:row>
    <x:row r="162" ht="31" customHeight="1">
      <x:c r="A162" s="24" t="str">
        <x:v>☐</x:v>
      </x:c>
      <x:c r="B162" s="20" t="str">
        <x:v>FIN-158</x:v>
      </x:c>
      <x:c r="C162" s="20" t="str">
        <x:v>V2</x:v>
      </x:c>
      <x:c r="D162" s="20" t="str">
        <x:v>Advanced tax intelligence</x:v>
      </x:c>
      <x:c r="E162" s="20" t="str">
        <x:v>Salary and other income reconciliation</x:v>
      </x:c>
      <x:c r="F162" s="20" t="str">
        <x:v>P2</x:v>
      </x:c>
      <x:c r="G162" s="20" t="str"/>
      <x:c r="H162" s="20" t="str">
        <x:v>Planned</x:v>
      </x:c>
      <x:c r="I162" s="20" t="str">
        <x:v>User+CA can inspect tax-income classifications</x:v>
      </x:c>
      <x:c r="J162" s="20" t="str">
        <x:v>Unassigned</x:v>
      </x:c>
      <x:c r="K162" s="20" t="str"/>
    </x:row>
    <x:row r="163" ht="31" customHeight="1">
      <x:c r="A163" s="24" t="str">
        <x:v>☐</x:v>
      </x:c>
      <x:c r="B163" s="20" t="str">
        <x:v>FIN-159</x:v>
      </x:c>
      <x:c r="C163" s="20" t="str">
        <x:v>V2</x:v>
      </x:c>
      <x:c r="D163" s="20" t="str">
        <x:v>Advanced tax intelligence</x:v>
      </x:c>
      <x:c r="E163" s="20" t="str">
        <x:v>Personalized policy relevance engine</x:v>
      </x:c>
      <x:c r="F163" s="20" t="str">
        <x:v>P2</x:v>
      </x:c>
      <x:c r="G163" s="20" t="str"/>
      <x:c r="H163" s="20" t="str">
        <x:v>Planned</x:v>
      </x:c>
      <x:c r="I163" s="20" t="str">
        <x:v>Rule-change notices filtered to declared circumstances</x:v>
      </x:c>
      <x:c r="J163" s="20" t="str">
        <x:v>Unassigned</x:v>
      </x:c>
      <x:c r="K163" s="20" t="str"/>
    </x:row>
    <x:row r="164" ht="31" customHeight="1">
      <x:c r="A164" s="24" t="str">
        <x:v>☐</x:v>
      </x:c>
      <x:c r="B164" s="20" t="str">
        <x:v>FIN-160</x:v>
      </x:c>
      <x:c r="C164" s="20" t="str">
        <x:v>V2</x:v>
      </x:c>
      <x:c r="D164" s="20" t="str">
        <x:v>Advanced tax intelligence</x:v>
      </x:c>
      <x:c r="E164" s="20" t="str">
        <x:v>Estimated tax payment/TDS summary</x:v>
      </x:c>
      <x:c r="F164" s="20" t="str">
        <x:v>P2</x:v>
      </x:c>
      <x:c r="G164" s="20" t="str"/>
      <x:c r="H164" s="20" t="str">
        <x:v>Planned</x:v>
      </x:c>
      <x:c r="I164" s="20" t="str">
        <x:v>Tax payments and deductions shown with verified source data</x:v>
      </x:c>
      <x:c r="J164" s="20" t="str">
        <x:v>Unassigned</x:v>
      </x:c>
      <x:c r="K164" s="20" t="str"/>
    </x:row>
    <x:row r="165" ht="31" customHeight="1">
      <x:c r="A165" s="24" t="str">
        <x:v>☐</x:v>
      </x:c>
      <x:c r="B165" s="20" t="str">
        <x:v>FIN-161</x:v>
      </x:c>
      <x:c r="C165" s="20" t="str">
        <x:v>V2</x:v>
      </x:c>
      <x:c r="D165" s="20" t="str">
        <x:v>Advanced tax intelligence</x:v>
      </x:c>
      <x:c r="E165" s="20" t="str">
        <x:v>Tax notices and deadline organizer</x:v>
      </x:c>
      <x:c r="F165" s="20" t="str">
        <x:v>P2</x:v>
      </x:c>
      <x:c r="G165" s="20" t="str"/>
      <x:c r="H165" s="20" t="str">
        <x:v>Planned</x:v>
      </x:c>
      <x:c r="I165" s="20" t="str">
        <x:v>User-supplied notice/reminders organized safely</x:v>
      </x:c>
      <x:c r="J165" s="20" t="str">
        <x:v>Unassigned</x:v>
      </x:c>
      <x:c r="K165" s="20" t="str"/>
    </x:row>
    <x:row r="166" ht="31" customHeight="1">
      <x:c r="A166" s="24" t="str">
        <x:v>☐</x:v>
      </x:c>
      <x:c r="B166" s="20" t="str">
        <x:v>FIN-162</x:v>
      </x:c>
      <x:c r="C166" s="20" t="str">
        <x:v>V2</x:v>
      </x:c>
      <x:c r="D166" s="20" t="str">
        <x:v>Advanced tax intelligence</x:v>
      </x:c>
      <x:c r="E166" s="20" t="str">
        <x:v>CA reviewer collaboration on tax issues</x:v>
      </x:c>
      <x:c r="F166" s="20" t="str">
        <x:v>P2</x:v>
      </x:c>
      <x:c r="G166" s="20" t="str"/>
      <x:c r="H166" s="20" t="str">
        <x:v>Planned</x:v>
      </x:c>
      <x:c r="I166" s="20" t="str">
        <x:v>Dedicated query and resolution workflow</x:v>
      </x:c>
      <x:c r="J166" s="20" t="str">
        <x:v>Unassigned</x:v>
      </x:c>
      <x:c r="K166" s="20" t="str"/>
    </x:row>
    <x:row r="167" ht="31" customHeight="1">
      <x:c r="A167" s="24" t="str">
        <x:v>☐</x:v>
      </x:c>
      <x:c r="B167" s="20" t="str">
        <x:v>FIN-163</x:v>
      </x:c>
      <x:c r="C167" s="20" t="str">
        <x:v>V2</x:v>
      </x:c>
      <x:c r="D167" s="20" t="str">
        <x:v>Advanced tax intelligence</x:v>
      </x:c>
      <x:c r="E167" s="20" t="str">
        <x:v>Historical tax position reproducibility</x:v>
      </x:c>
      <x:c r="F167" s="20" t="str">
        <x:v>P2</x:v>
      </x:c>
      <x:c r="G167" s="20" t="str"/>
      <x:c r="H167" s="20" t="str">
        <x:v>Planned</x:v>
      </x:c>
      <x:c r="I167" s="20" t="str">
        <x:v>Re-run stored inputs against pinned rules versions</x:v>
      </x:c>
      <x:c r="J167" s="20" t="str">
        <x:v>Unassigned</x:v>
      </x:c>
      <x:c r="K167" s="20" t="str"/>
    </x:row>
    <x:row r="168" ht="31" customHeight="1">
      <x:c r="A168" s="24" t="str">
        <x:v>☐</x:v>
      </x:c>
      <x:c r="B168" s="20" t="str">
        <x:v>FIN-164</x:v>
      </x:c>
      <x:c r="C168" s="20" t="str">
        <x:v>V2</x:v>
      </x:c>
      <x:c r="D168" s="20" t="str">
        <x:v>CA workspace SaaS</x:v>
      </x:c>
      <x:c r="E168" s="20" t="str">
        <x:v>CA practice signup and verification</x:v>
      </x:c>
      <x:c r="F168" s="20" t="str">
        <x:v>P2</x:v>
      </x:c>
      <x:c r="G168" s="20" t="str"/>
      <x:c r="H168" s="20" t="str">
        <x:v>Planned</x:v>
      </x:c>
      <x:c r="I168" s="20" t="str">
        <x:v>Professional account verification process designed</x:v>
      </x:c>
      <x:c r="J168" s="20" t="str">
        <x:v>Unassigned</x:v>
      </x:c>
      <x:c r="K168" s="20" t="str"/>
    </x:row>
    <x:row r="169" ht="31" customHeight="1">
      <x:c r="A169" s="24" t="str">
        <x:v>☐</x:v>
      </x:c>
      <x:c r="B169" s="20" t="str">
        <x:v>FIN-165</x:v>
      </x:c>
      <x:c r="C169" s="20" t="str">
        <x:v>V2</x:v>
      </x:c>
      <x:c r="D169" s="20" t="str">
        <x:v>CA workspace SaaS</x:v>
      </x:c>
      <x:c r="E169" s="20" t="str">
        <x:v>Firm-level staff roles</x:v>
      </x:c>
      <x:c r="F169" s="20" t="str">
        <x:v>P2</x:v>
      </x:c>
      <x:c r="G169" s="20" t="str"/>
      <x:c r="H169" s="20" t="str">
        <x:v>Planned</x:v>
      </x:c>
      <x:c r="I169" s="20" t="str">
        <x:v>Firm data segregated and permissioned</x:v>
      </x:c>
      <x:c r="J169" s="20" t="str">
        <x:v>Unassigned</x:v>
      </x:c>
      <x:c r="K169" s="20" t="str"/>
    </x:row>
    <x:row r="170" ht="31" customHeight="1">
      <x:c r="A170" s="24" t="str">
        <x:v>☐</x:v>
      </x:c>
      <x:c r="B170" s="20" t="str">
        <x:v>FIN-166</x:v>
      </x:c>
      <x:c r="C170" s="20" t="str">
        <x:v>V2</x:v>
      </x:c>
      <x:c r="D170" s="20" t="str">
        <x:v>CA workspace SaaS</x:v>
      </x:c>
      <x:c r="E170" s="20" t="str">
        <x:v>Client invitation and intake workflows</x:v>
      </x:c>
      <x:c r="F170" s="20" t="str">
        <x:v>P2</x:v>
      </x:c>
      <x:c r="G170" s="20" t="str"/>
      <x:c r="H170" s="20" t="str">
        <x:v>Planned</x:v>
      </x:c>
      <x:c r="I170" s="20" t="str">
        <x:v>Client joins with explicit consent</x:v>
      </x:c>
      <x:c r="J170" s="20" t="str">
        <x:v>Unassigned</x:v>
      </x:c>
      <x:c r="K170" s="20" t="str"/>
    </x:row>
    <x:row r="171" ht="31" customHeight="1">
      <x:c r="A171" s="24" t="str">
        <x:v>☐</x:v>
      </x:c>
      <x:c r="B171" s="20" t="str">
        <x:v>FIN-167</x:v>
      </x:c>
      <x:c r="C171" s="20" t="str">
        <x:v>V2</x:v>
      </x:c>
      <x:c r="D171" s="20" t="str">
        <x:v>CA workspace SaaS</x:v>
      </x:c>
      <x:c r="E171" s="20" t="str">
        <x:v>Document requests and reminders</x:v>
      </x:c>
      <x:c r="F171" s="20" t="str">
        <x:v>P2</x:v>
      </x:c>
      <x:c r="G171" s="20" t="str"/>
      <x:c r="H171" s="20" t="str">
        <x:v>Planned</x:v>
      </x:c>
      <x:c r="I171" s="20" t="str">
        <x:v>User receives scoped requests and uploads</x:v>
      </x:c>
      <x:c r="J171" s="20" t="str">
        <x:v>Unassigned</x:v>
      </x:c>
      <x:c r="K171" s="20" t="str"/>
    </x:row>
    <x:row r="172" ht="31" customHeight="1">
      <x:c r="A172" s="24" t="str">
        <x:v>☐</x:v>
      </x:c>
      <x:c r="B172" s="20" t="str">
        <x:v>FIN-168</x:v>
      </x:c>
      <x:c r="C172" s="20" t="str">
        <x:v>V2</x:v>
      </x:c>
      <x:c r="D172" s="20" t="str">
        <x:v>CA workspace SaaS</x:v>
      </x:c>
      <x:c r="E172" s="20" t="str">
        <x:v>Client readiness pipeline</x:v>
      </x:c>
      <x:c r="F172" s="20" t="str">
        <x:v>P2</x:v>
      </x:c>
      <x:c r="G172" s="20" t="str"/>
      <x:c r="H172" s="20" t="str">
        <x:v>Planned</x:v>
      </x:c>
      <x:c r="I172" s="20" t="str">
        <x:v>Firm can filter missing docs and open issues</x:v>
      </x:c>
      <x:c r="J172" s="20" t="str">
        <x:v>Unassigned</x:v>
      </x:c>
      <x:c r="K172" s="20" t="str"/>
    </x:row>
    <x:row r="173" ht="31" customHeight="1">
      <x:c r="A173" s="24" t="str">
        <x:v>☐</x:v>
      </x:c>
      <x:c r="B173" s="20" t="str">
        <x:v>FIN-169</x:v>
      </x:c>
      <x:c r="C173" s="20" t="str">
        <x:v>V2</x:v>
      </x:c>
      <x:c r="D173" s="20" t="str">
        <x:v>CA workspace SaaS</x:v>
      </x:c>
      <x:c r="E173" s="20" t="str">
        <x:v>Multi-client secure document dashboard</x:v>
      </x:c>
      <x:c r="F173" s="20" t="str">
        <x:v>P2</x:v>
      </x:c>
      <x:c r="G173" s="20" t="str"/>
      <x:c r="H173" s="20" t="str">
        <x:v>Planned</x:v>
      </x:c>
      <x:c r="I173" s="20" t="str">
        <x:v>Professional sees only authorized clients</x:v>
      </x:c>
      <x:c r="J173" s="20" t="str">
        <x:v>Unassigned</x:v>
      </x:c>
      <x:c r="K173" s="20" t="str"/>
    </x:row>
    <x:row r="174" ht="31" customHeight="1">
      <x:c r="A174" s="24" t="str">
        <x:v>☐</x:v>
      </x:c>
      <x:c r="B174" s="20" t="str">
        <x:v>FIN-170</x:v>
      </x:c>
      <x:c r="C174" s="20" t="str">
        <x:v>V2</x:v>
      </x:c>
      <x:c r="D174" s="20" t="str">
        <x:v>CA workspace SaaS</x:v>
      </x:c>
      <x:c r="E174" s="20" t="str">
        <x:v>CA comments and client review tasks</x:v>
      </x:c>
      <x:c r="F174" s="20" t="str">
        <x:v>P2</x:v>
      </x:c>
      <x:c r="G174" s="20" t="str"/>
      <x:c r="H174" s="20" t="str">
        <x:v>Planned</x:v>
      </x:c>
      <x:c r="I174" s="20" t="str">
        <x:v>Threaded client-specific workflow</x:v>
      </x:c>
      <x:c r="J174" s="20" t="str">
        <x:v>Unassigned</x:v>
      </x:c>
      <x:c r="K174" s="20" t="str"/>
    </x:row>
    <x:row r="175" ht="31" customHeight="1">
      <x:c r="A175" s="24" t="str">
        <x:v>☐</x:v>
      </x:c>
      <x:c r="B175" s="20" t="str">
        <x:v>FIN-171</x:v>
      </x:c>
      <x:c r="C175" s="20" t="str">
        <x:v>V2</x:v>
      </x:c>
      <x:c r="D175" s="20" t="str">
        <x:v>CA workspace SaaS</x:v>
      </x:c>
      <x:c r="E175" s="20" t="str">
        <x:v>Client tax package assembly</x:v>
      </x:c>
      <x:c r="F175" s="20" t="str">
        <x:v>P2</x:v>
      </x:c>
      <x:c r="G175" s="20" t="str"/>
      <x:c r="H175" s="20" t="str">
        <x:v>Planned</x:v>
      </x:c>
      <x:c r="I175" s="20" t="str">
        <x:v>Accountant can review/edit package generation</x:v>
      </x:c>
      <x:c r="J175" s="20" t="str">
        <x:v>Unassigned</x:v>
      </x:c>
      <x:c r="K175" s="20" t="str"/>
    </x:row>
    <x:row r="176" ht="31" customHeight="1">
      <x:c r="A176" s="24" t="str">
        <x:v>☐</x:v>
      </x:c>
      <x:c r="B176" s="20" t="str">
        <x:v>FIN-172</x:v>
      </x:c>
      <x:c r="C176" s="20" t="str">
        <x:v>V2</x:v>
      </x:c>
      <x:c r="D176" s="20" t="str">
        <x:v>CA workspace SaaS</x:v>
      </x:c>
      <x:c r="E176" s="20" t="str">
        <x:v>Activity and compliance audit reports</x:v>
      </x:c>
      <x:c r="F176" s="20" t="str">
        <x:v>P2</x:v>
      </x:c>
      <x:c r="G176" s="20" t="str"/>
      <x:c r="H176" s="20" t="str">
        <x:v>Planned</x:v>
      </x:c>
      <x:c r="I176" s="20" t="str">
        <x:v>Firm access trails exportable to authorized admins</x:v>
      </x:c>
      <x:c r="J176" s="20" t="str">
        <x:v>Unassigned</x:v>
      </x:c>
      <x:c r="K176" s="20" t="str"/>
    </x:row>
    <x:row r="177" ht="31" customHeight="1">
      <x:c r="A177" s="24" t="str">
        <x:v>☐</x:v>
      </x:c>
      <x:c r="B177" s="20" t="str">
        <x:v>FIN-173</x:v>
      </x:c>
      <x:c r="C177" s="20" t="str">
        <x:v>V2</x:v>
      </x:c>
      <x:c r="D177" s="20" t="str">
        <x:v>CA workspace SaaS</x:v>
      </x:c>
      <x:c r="E177" s="20" t="str">
        <x:v>Firm subscription tiers</x:v>
      </x:c>
      <x:c r="F177" s="20" t="str">
        <x:v>P2</x:v>
      </x:c>
      <x:c r="G177" s="20" t="str"/>
      <x:c r="H177" s="20" t="str">
        <x:v>Planned</x:v>
      </x:c>
      <x:c r="I177" s="20" t="str">
        <x:v>Billing and seat/client count handled correctly</x:v>
      </x:c>
      <x:c r="J177" s="20" t="str">
        <x:v>Unassigned</x:v>
      </x:c>
      <x:c r="K177" s="20" t="str"/>
    </x:row>
    <x:row r="178" ht="31" customHeight="1">
      <x:c r="A178" s="24" t="str">
        <x:v>☐</x:v>
      </x:c>
      <x:c r="B178" s="20" t="str">
        <x:v>FIN-174</x:v>
      </x:c>
      <x:c r="C178" s="20" t="str">
        <x:v>V2</x:v>
      </x:c>
      <x:c r="D178" s="20" t="str">
        <x:v>CA workspace SaaS</x:v>
      </x:c>
      <x:c r="E178" s="20" t="str">
        <x:v>Client relationship revoke/export</x:v>
      </x:c>
      <x:c r="F178" s="20" t="str">
        <x:v>P2</x:v>
      </x:c>
      <x:c r="G178" s="20" t="str"/>
      <x:c r="H178" s="20" t="str">
        <x:v>Planned</x:v>
      </x:c>
      <x:c r="I178" s="20" t="str">
        <x:v>User retains control and can remove practice access</x:v>
      </x:c>
      <x:c r="J178" s="20" t="str">
        <x:v>Unassigned</x:v>
      </x:c>
      <x:c r="K178" s="20" t="str"/>
    </x:row>
    <x:row r="179" ht="31" customHeight="1">
      <x:c r="A179" s="24" t="str">
        <x:v>☐</x:v>
      </x:c>
      <x:c r="B179" s="20" t="str">
        <x:v>FIN-175</x:v>
      </x:c>
      <x:c r="C179" s="20" t="str">
        <x:v>V3+</x:v>
      </x:c>
      <x:c r="D179" s="20" t="str">
        <x:v>Future regulated integrations</x:v>
      </x:c>
      <x:c r="E179" s="20" t="str">
        <x:v>Account Aggregator integration through eligible regulated arrangements</x:v>
      </x:c>
      <x:c r="F179" s="20" t="str">
        <x:v>P2</x:v>
      </x:c>
      <x:c r="G179" s="20" t="str"/>
      <x:c r="H179" s="20" t="str">
        <x:v>Planned</x:v>
      </x:c>
      <x:c r="I179" s="20" t="str">
        <x:v>Consent-based bank feeds only after regulatory review</x:v>
      </x:c>
      <x:c r="J179" s="20" t="str">
        <x:v>Unassigned</x:v>
      </x:c>
      <x:c r="K179" s="20" t="str"/>
    </x:row>
    <x:row r="180" ht="31" customHeight="1">
      <x:c r="A180" s="24" t="str">
        <x:v>☐</x:v>
      </x:c>
      <x:c r="B180" s="20" t="str">
        <x:v>FIN-176</x:v>
      </x:c>
      <x:c r="C180" s="20" t="str">
        <x:v>V3+</x:v>
      </x:c>
      <x:c r="D180" s="20" t="str">
        <x:v>Future regulated integrations</x:v>
      </x:c>
      <x:c r="E180" s="20" t="str">
        <x:v>Direct Income Tax ERI flow</x:v>
      </x:c>
      <x:c r="F180" s="20" t="str">
        <x:v>P2</x:v>
      </x:c>
      <x:c r="G180" s="20" t="str"/>
      <x:c r="H180" s="20" t="str">
        <x:v>Planned</x:v>
      </x:c>
      <x:c r="I180" s="20" t="str">
        <x:v>Integration available only with applicable authorized status</x:v>
      </x:c>
      <x:c r="J180" s="20" t="str">
        <x:v>Unassigned</x:v>
      </x:c>
      <x:c r="K180" s="20" t="str"/>
    </x:row>
    <x:row r="181" ht="31" customHeight="1">
      <x:c r="A181" s="24" t="str">
        <x:v>☐</x:v>
      </x:c>
      <x:c r="B181" s="20" t="str">
        <x:v>FIN-177</x:v>
      </x:c>
      <x:c r="C181" s="20" t="str">
        <x:v>V3+</x:v>
      </x:c>
      <x:c r="D181" s="20" t="str">
        <x:v>Future regulated integrations</x:v>
      </x:c>
      <x:c r="E181" s="20" t="str">
        <x:v>Broker API/holdings integration</x:v>
      </x:c>
      <x:c r="F181" s="20" t="str">
        <x:v>P2</x:v>
      </x:c>
      <x:c r="G181" s="20" t="str"/>
      <x:c r="H181" s="20" t="str">
        <x:v>Planned</x:v>
      </x:c>
      <x:c r="I181" s="20" t="str">
        <x:v>Approved customer authorization and data sharing</x:v>
      </x:c>
      <x:c r="J181" s="20" t="str">
        <x:v>Unassigned</x:v>
      </x:c>
      <x:c r="K181" s="20" t="str"/>
    </x:row>
    <x:row r="182" ht="31" customHeight="1">
      <x:c r="A182" s="24" t="str">
        <x:v>☐</x:v>
      </x:c>
      <x:c r="B182" s="20" t="str">
        <x:v>FIN-178</x:v>
      </x:c>
      <x:c r="C182" s="20" t="str">
        <x:v>V3+</x:v>
      </x:c>
      <x:c r="D182" s="20" t="str">
        <x:v>Future regulated integrations</x:v>
      </x:c>
      <x:c r="E182" s="20" t="str">
        <x:v>GST/ASP-GSP partner integrations</x:v>
      </x:c>
      <x:c r="F182" s="20" t="str">
        <x:v>P2</x:v>
      </x:c>
      <x:c r="G182" s="20" t="str"/>
      <x:c r="H182" s="20" t="str">
        <x:v>Planned</x:v>
      </x:c>
      <x:c r="I182" s="20" t="str">
        <x:v>GST flows use suitable provider and consent</x:v>
      </x:c>
      <x:c r="J182" s="20" t="str">
        <x:v>Unassigned</x:v>
      </x:c>
      <x:c r="K182" s="20" t="str"/>
    </x:row>
    <x:row r="183" ht="31" customHeight="1">
      <x:c r="A183" s="24" t="str">
        <x:v>☐</x:v>
      </x:c>
      <x:c r="B183" s="20" t="str">
        <x:v>FIN-179</x:v>
      </x:c>
      <x:c r="C183" s="20" t="str">
        <x:v>V3+</x:v>
      </x:c>
      <x:c r="D183" s="20" t="str">
        <x:v>Future regulated integrations</x:v>
      </x:c>
      <x:c r="E183" s="20" t="str">
        <x:v>Authorized PAN verification</x:v>
      </x:c>
      <x:c r="F183" s="20" t="str">
        <x:v>P2</x:v>
      </x:c>
      <x:c r="G183" s="20" t="str"/>
      <x:c r="H183" s="20" t="str">
        <x:v>Planned</x:v>
      </x:c>
      <x:c r="I183" s="20" t="str">
        <x:v>Provider/legal access confirmed</x:v>
      </x:c>
      <x:c r="J183" s="20" t="str">
        <x:v>Unassigned</x:v>
      </x:c>
      <x:c r="K183" s="20" t="str"/>
    </x:row>
    <x:row r="184" ht="31" customHeight="1">
      <x:c r="A184" s="24" t="str">
        <x:v>☐</x:v>
      </x:c>
      <x:c r="B184" s="20" t="str">
        <x:v>FIN-180</x:v>
      </x:c>
      <x:c r="C184" s="20" t="str">
        <x:v>V3+</x:v>
      </x:c>
      <x:c r="D184" s="20" t="str">
        <x:v>Future regulated integrations</x:v>
      </x:c>
      <x:c r="E184" s="20" t="str">
        <x:v>Automated financial sync scheduling</x:v>
      </x:c>
      <x:c r="F184" s="20" t="str">
        <x:v>P2</x:v>
      </x:c>
      <x:c r="G184" s="20" t="str"/>
      <x:c r="H184" s="20" t="str">
        <x:v>Planned</x:v>
      </x:c>
      <x:c r="I184" s="20" t="str">
        <x:v>Only permitted integrations and revocable consent</x:v>
      </x:c>
      <x:c r="J184" s="20" t="str">
        <x:v>Unassigned</x:v>
      </x:c>
      <x:c r="K184" s="20" t="str"/>
    </x:row>
    <x:row r="185" ht="31" customHeight="1">
      <x:c r="A185" s="24" t="str">
        <x:v>☐</x:v>
      </x:c>
      <x:c r="B185" s="20" t="str">
        <x:v>FIN-181</x:v>
      </x:c>
      <x:c r="C185" s="20" t="str">
        <x:v>V3+</x:v>
      </x:c>
      <x:c r="D185" s="20" t="str">
        <x:v>Future regulated integrations</x:v>
      </x:c>
      <x:c r="E185" s="20" t="str">
        <x:v>Personalized investment advice with registered providers</x:v>
      </x:c>
      <x:c r="F185" s="20" t="str">
        <x:v>P2</x:v>
      </x:c>
      <x:c r="G185" s="20" t="str"/>
      <x:c r="H185" s="20" t="str">
        <x:v>Planned</x:v>
      </x:c>
      <x:c r="I185" s="20" t="str">
        <x:v>Advice offered only through properly licensed service</x:v>
      </x:c>
      <x:c r="J185" s="20" t="str">
        <x:v>Unassigned</x:v>
      </x:c>
      <x:c r="K185" s="20" t="str"/>
    </x:row>
    <x:row r="186" ht="31" customHeight="1">
      <x:c r="A186" s="24" t="str">
        <x:v>☐</x:v>
      </x:c>
      <x:c r="B186" s="20" t="str">
        <x:v>FIN-182</x:v>
      </x:c>
      <x:c r="C186" s="20" t="str">
        <x:v>V3+</x:v>
      </x:c>
      <x:c r="D186" s="20" t="str">
        <x:v>Future regulated integrations</x:v>
      </x:c>
      <x:c r="E186" s="20" t="str">
        <x:v>Direct tax return submission</x:v>
      </x:c>
      <x:c r="F186" s="20" t="str">
        <x:v>P2</x:v>
      </x:c>
      <x:c r="G186" s="20" t="str"/>
      <x:c r="H186" s="20" t="str">
        <x:v>Planned</x:v>
      </x:c>
      <x:c r="I186" s="20" t="str">
        <x:v>Authorized ERI and professional review path</x:v>
      </x:c>
      <x:c r="J186" s="20" t="str">
        <x:v>Unassigned</x:v>
      </x:c>
      <x:c r="K186" s="20" t="str"/>
    </x:row>
    <x:row r="187" ht="31" customHeight="1">
      <x:c r="A187" s="24" t="str">
        <x:v>☐</x:v>
      </x:c>
      <x:c r="B187" s="20" t="str">
        <x:v>FIN-183</x:v>
      </x:c>
      <x:c r="C187" s="20" t="str">
        <x:v>Future</x:v>
      </x:c>
      <x:c r="D187" s="20" t="str">
        <x:v>Long-term product expansion</x:v>
      </x:c>
      <x:c r="E187" s="20" t="str">
        <x:v>Family financial vault</x:v>
      </x:c>
      <x:c r="F187" s="20" t="str">
        <x:v>P2</x:v>
      </x:c>
      <x:c r="G187" s="20" t="str"/>
      <x:c r="H187" s="20" t="str">
        <x:v>Planned</x:v>
      </x:c>
      <x:c r="I187" s="20" t="str">
        <x:v>Secure household document sharing and nominee records</x:v>
      </x:c>
      <x:c r="J187" s="20" t="str">
        <x:v>Unassigned</x:v>
      </x:c>
      <x:c r="K187" s="20" t="str"/>
    </x:row>
    <x:row r="188" ht="31" customHeight="1">
      <x:c r="A188" s="24" t="str">
        <x:v>☐</x:v>
      </x:c>
      <x:c r="B188" s="20" t="str">
        <x:v>FIN-184</x:v>
      </x:c>
      <x:c r="C188" s="20" t="str">
        <x:v>Future</x:v>
      </x:c>
      <x:c r="D188" s="20" t="str">
        <x:v>Long-term product expansion</x:v>
      </x:c>
      <x:c r="E188" s="20" t="str">
        <x:v>Freelancer invoice and expense workflows</x:v>
      </x:c>
      <x:c r="F188" s="20" t="str">
        <x:v>P2</x:v>
      </x:c>
      <x:c r="G188" s="20" t="str"/>
      <x:c r="H188" s="20" t="str">
        <x:v>Planned</x:v>
      </x:c>
      <x:c r="I188" s="20" t="str">
        <x:v>Separate personal/business money context</x:v>
      </x:c>
      <x:c r="J188" s="20" t="str">
        <x:v>Unassigned</x:v>
      </x:c>
      <x:c r="K188" s="20" t="str"/>
    </x:row>
    <x:row r="189" ht="31" customHeight="1">
      <x:c r="A189" s="24" t="str">
        <x:v>☐</x:v>
      </x:c>
      <x:c r="B189" s="20" t="str">
        <x:v>FIN-185</x:v>
      </x:c>
      <x:c r="C189" s="20" t="str">
        <x:v>Future</x:v>
      </x:c>
      <x:c r="D189" s="20" t="str">
        <x:v>Long-term product expansion</x:v>
      </x:c>
      <x:c r="E189" s="20" t="str">
        <x:v>Sole proprietor cash flow reports</x:v>
      </x:c>
      <x:c r="F189" s="20" t="str">
        <x:v>P2</x:v>
      </x:c>
      <x:c r="G189" s="20" t="str"/>
      <x:c r="H189" s="20" t="str">
        <x:v>Planned</x:v>
      </x:c>
      <x:c r="I189" s="20" t="str">
        <x:v>Tax-ready business income and expenses</x:v>
      </x:c>
      <x:c r="J189" s="20" t="str">
        <x:v>Unassigned</x:v>
      </x:c>
      <x:c r="K189" s="20" t="str"/>
    </x:row>
    <x:row r="190" ht="31" customHeight="1">
      <x:c r="A190" s="24" t="str">
        <x:v>☐</x:v>
      </x:c>
      <x:c r="B190" s="20" t="str">
        <x:v>FIN-186</x:v>
      </x:c>
      <x:c r="C190" s="20" t="str">
        <x:v>Future</x:v>
      </x:c>
      <x:c r="D190" s="20" t="str">
        <x:v>Long-term product expansion</x:v>
      </x:c>
      <x:c r="E190" s="20" t="str">
        <x:v>Business bookkeeping export</x:v>
      </x:c>
      <x:c r="F190" s="20" t="str">
        <x:v>P2</x:v>
      </x:c>
      <x:c r="G190" s="20" t="str"/>
      <x:c r="H190" s="20" t="str">
        <x:v>Planned</x:v>
      </x:c>
      <x:c r="I190" s="20" t="str">
        <x:v>Accounting software-compatible exports</x:v>
      </x:c>
      <x:c r="J190" s="20" t="str">
        <x:v>Unassigned</x:v>
      </x:c>
      <x:c r="K190" s="20" t="str"/>
    </x:row>
    <x:row r="191" ht="31" customHeight="1">
      <x:c r="A191" s="24" t="str">
        <x:v>☐</x:v>
      </x:c>
      <x:c r="B191" s="20" t="str">
        <x:v>FIN-187</x:v>
      </x:c>
      <x:c r="C191" s="20" t="str">
        <x:v>Future</x:v>
      </x:c>
      <x:c r="D191" s="20" t="str">
        <x:v>Long-term product expansion</x:v>
      </x:c>
      <x:c r="E191" s="20" t="str">
        <x:v>CA marketplace discovery</x:v>
      </x:c>
      <x:c r="F191" s="20" t="str">
        <x:v>P2</x:v>
      </x:c>
      <x:c r="G191" s="20" t="str"/>
      <x:c r="H191" s="20" t="str">
        <x:v>Planned</x:v>
      </x:c>
      <x:c r="I191" s="20" t="str">
        <x:v>Ethics and referral compliance reviewed before monetization</x:v>
      </x:c>
      <x:c r="J191" s="20" t="str">
        <x:v>Unassigned</x:v>
      </x:c>
      <x:c r="K191" s="20" t="str"/>
    </x:row>
    <x:row r="192" ht="31" customHeight="1">
      <x:c r="A192" s="24" t="str">
        <x:v>☐</x:v>
      </x:c>
      <x:c r="B192" s="20" t="str">
        <x:v>FIN-188</x:v>
      </x:c>
      <x:c r="C192" s="20" t="str">
        <x:v>Future</x:v>
      </x:c>
      <x:c r="D192" s="20" t="str">
        <x:v>Long-term product expansion</x:v>
      </x:c>
      <x:c r="E192" s="20" t="str">
        <x:v>Professional financial adviser connections</x:v>
      </x:c>
      <x:c r="F192" s="20" t="str">
        <x:v>P2</x:v>
      </x:c>
      <x:c r="G192" s="20" t="str"/>
      <x:c r="H192" s="20" t="str">
        <x:v>Planned</x:v>
      </x:c>
      <x:c r="I192" s="20" t="str">
        <x:v>Registered advisers listed with clear role boundaries</x:v>
      </x:c>
      <x:c r="J192" s="20" t="str">
        <x:v>Unassigned</x:v>
      </x:c>
      <x:c r="K192" s="20" t="str"/>
    </x:row>
    <x:row r="193" ht="31" customHeight="1">
      <x:c r="A193" s="24" t="str">
        <x:v>☐</x:v>
      </x:c>
      <x:c r="B193" s="20" t="str">
        <x:v>FIN-189</x:v>
      </x:c>
      <x:c r="C193" s="20" t="str">
        <x:v>Future</x:v>
      </x:c>
      <x:c r="D193" s="20" t="str">
        <x:v>Long-term product expansion</x:v>
      </x:c>
      <x:c r="E193" s="20" t="str">
        <x:v>Insurance renewal/coverage organizer</x:v>
      </x:c>
      <x:c r="F193" s="20" t="str">
        <x:v>P2</x:v>
      </x:c>
      <x:c r="G193" s="20" t="str"/>
      <x:c r="H193" s="20" t="str">
        <x:v>Planned</x:v>
      </x:c>
      <x:c r="I193" s="20" t="str">
        <x:v>Reminder and vault, no unlicensed product sale</x:v>
      </x:c>
      <x:c r="J193" s="20" t="str">
        <x:v>Unassigned</x:v>
      </x:c>
      <x:c r="K193" s="20" t="str"/>
    </x:row>
    <x:row r="194" ht="31" customHeight="1">
      <x:c r="A194" s="24" t="str">
        <x:v>☐</x:v>
      </x:c>
      <x:c r="B194" s="20" t="str">
        <x:v>FIN-190</x:v>
      </x:c>
      <x:c r="C194" s="20" t="str">
        <x:v>Future</x:v>
      </x:c>
      <x:c r="D194" s="20" t="str">
        <x:v>Long-term product expansion</x:v>
      </x:c>
      <x:c r="E194" s="20" t="str">
        <x:v>Loans and debt payoff scenarios</x:v>
      </x:c>
      <x:c r="F194" s="20" t="str">
        <x:v>P2</x:v>
      </x:c>
      <x:c r="G194" s="20" t="str"/>
      <x:c r="H194" s="20" t="str">
        <x:v>Planned</x:v>
      </x:c>
      <x:c r="I194" s="20" t="str">
        <x:v>Calculators without loan origination initially</x:v>
      </x:c>
      <x:c r="J194" s="20" t="str">
        <x:v>Unassigned</x:v>
      </x:c>
      <x:c r="K194" s="20" t="str"/>
    </x:row>
    <x:row r="195" ht="31" customHeight="1">
      <x:c r="A195" s="24" t="str">
        <x:v>☐</x:v>
      </x:c>
      <x:c r="B195" s="20" t="str">
        <x:v>FIN-191</x:v>
      </x:c>
      <x:c r="C195" s="20" t="str">
        <x:v>Future</x:v>
      </x:c>
      <x:c r="D195" s="20" t="str">
        <x:v>Long-term product expansion</x:v>
      </x:c>
      <x:c r="E195" s="20" t="str">
        <x:v>International and multicurrency statements</x:v>
      </x:c>
      <x:c r="F195" s="20" t="str">
        <x:v>P2</x:v>
      </x:c>
      <x:c r="G195" s="20" t="str"/>
      <x:c r="H195" s="20" t="str">
        <x:v>Planned</x:v>
      </x:c>
      <x:c r="I195" s="20" t="str">
        <x:v>Exchange rates and multi-entity rules validated</x:v>
      </x:c>
      <x:c r="J195" s="20" t="str">
        <x:v>Unassigned</x:v>
      </x:c>
      <x:c r="K195" s="20" t="str"/>
    </x:row>
    <x:row r="196" ht="31" customHeight="1">
      <x:c r="A196" s="24" t="str">
        <x:v>☐</x:v>
      </x:c>
      <x:c r="B196" s="20" t="str">
        <x:v>FIN-192</x:v>
      </x:c>
      <x:c r="C196" s="20" t="str">
        <x:v>Future</x:v>
      </x:c>
      <x:c r="D196" s="20" t="str">
        <x:v>Long-term product expansion</x:v>
      </x:c>
      <x:c r="E196" s="20" t="str">
        <x:v>Native Android and iOS</x:v>
      </x:c>
      <x:c r="F196" s="20" t="str">
        <x:v>P2</x:v>
      </x:c>
      <x:c r="G196" s="20" t="str"/>
      <x:c r="H196" s="20" t="str">
        <x:v>Planned</x:v>
      </x:c>
      <x:c r="I196" s="20" t="str">
        <x:v>Mobile releases after web retention demonstrates demand</x:v>
      </x:c>
      <x:c r="J196" s="20" t="str">
        <x:v>Unassigned</x:v>
      </x:c>
      <x:c r="K196" s="20" t="str"/>
    </x:row>
    <x:row r="197" ht="31" customHeight="1">
      <x:c r="A197" s="24" t="str">
        <x:v>☐</x:v>
      </x:c>
      <x:c r="B197" s="20" t="str">
        <x:v>FIN-193</x:v>
      </x:c>
      <x:c r="C197" s="20" t="str">
        <x:v>Future</x:v>
      </x:c>
      <x:c r="D197" s="20" t="str">
        <x:v>Long-term product expansion</x:v>
      </x:c>
      <x:c r="E197" s="20" t="str">
        <x:v>Third-party user-authorized integrations</x:v>
      </x:c>
      <x:c r="F197" s="20" t="str">
        <x:v>P2</x:v>
      </x:c>
      <x:c r="G197" s="20" t="str"/>
      <x:c r="H197" s="20" t="str">
        <x:v>Planned</x:v>
      </x:c>
      <x:c r="I197" s="20" t="str">
        <x:v>Explicit permissions and revocation</x:v>
      </x:c>
      <x:c r="J197" s="20" t="str">
        <x:v>Unassigned</x:v>
      </x:c>
      <x:c r="K197" s="20" t="str"/>
    </x:row>
    <x:row r="198" ht="31" customHeight="1">
      <x:c r="A198" s="24" t="str">
        <x:v>☐</x:v>
      </x:c>
      <x:c r="B198" s="20" t="str">
        <x:v>FIN-194</x:v>
      </x:c>
      <x:c r="C198" s="20" t="str">
        <x:v>Future</x:v>
      </x:c>
      <x:c r="D198" s="20" t="str">
        <x:v>Long-term product expansion</x:v>
      </x:c>
      <x:c r="E198" s="20" t="str">
        <x:v>Financial education library</x:v>
      </x:c>
      <x:c r="F198" s="20" t="str">
        <x:v>P2</x:v>
      </x:c>
      <x:c r="G198" s="20" t="str"/>
      <x:c r="H198" s="20" t="str">
        <x:v>Planned</x:v>
      </x:c>
      <x:c r="I198" s="20" t="str">
        <x:v>Verified explainers with policy revision history</x:v>
      </x:c>
      <x:c r="J198" s="20" t="str">
        <x:v>Unassigned</x:v>
      </x:c>
      <x:c r="K198" s="20" t="str"/>
    </x:row>
  </x:sheetData>
  <x:mergeCells>
    <x:mergeCell ref="A1:K1"/>
    <x:mergeCell ref="A2:K2"/>
  </x:mergeCells>
  <x:conditionalFormatting sqref="H5:H198">
    <x:cfRule type="expression" dxfId="0" priority="1">
      <x:formula>H5="Verified Done"</x:formula>
    </x:cfRule>
    <x:cfRule type="expression" dxfId="1" priority="2">
      <x:formula>H5="Blocked"</x:formula>
    </x:cfRule>
    <x:cfRule type="expression" dxfId="2" priority="3">
      <x:formula>H5="Needs Review"</x:formula>
    </x:cfRule>
    <x:cfRule type="expression" dxfId="3" priority="4">
      <x:formula>H5="In Progress"</x:formula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7" hidden="0" customWidth="1"/>
    <x:col min="2" max="2" width="7" hidden="0" customWidth="1"/>
    <x:col min="3" max="3" width="14" hidden="0" customWidth="1"/>
    <x:col min="4" max="4" width="8" hidden="0" customWidth="1"/>
    <x:col min="5" max="5" width="30" hidden="0" customWidth="1"/>
    <x:col min="6" max="6" width="66" hidden="0" customWidth="1"/>
    <x:col min="7" max="7" width="18" hidden="0" customWidth="1"/>
    <x:col min="8" max="8" width="48" hidden="0" customWidth="1"/>
    <x:col min="9" max="9" width="16" hidden="0" customWidth="1"/>
    <x:col min="10" max="10" width="44" hidden="0" customWidth="1"/>
  </x:cols>
  <x:sheetData>
    <x:row r="1" ht="36" customHeight="1">
      <x:c r="A1" s="4" t="str">
        <x:v>FINNEST   /   DAILY PLAN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 ht="25" customHeight="1">
      <x:c r="A2" s="8" t="str">
        <x:v>Live project tracker — ☑ only when GitHub Issue is closed AND labeled verified.</x:v>
      </x:c>
      <x:c r="B2" s="8"/>
      <x:c r="C2" s="8"/>
      <x:c r="D2" s="8"/>
      <x:c r="E2" s="8"/>
      <x:c r="F2" s="8"/>
      <x:c r="G2" s="8"/>
      <x:c r="H2" s="8"/>
      <x:c r="I2" s="8"/>
      <x:c r="J2" s="8"/>
    </x:row>
    <x:row r="4" ht="30" customHeight="1">
      <x:c r="A4" s="13" t="str">
        <x:v>Done</x:v>
      </x:c>
      <x:c r="B4" s="13" t="str">
        <x:v>Day</x:v>
      </x:c>
      <x:c r="C4" s="13" t="str">
        <x:v>ID</x:v>
      </x:c>
      <x:c r="D4" s="13" t="str">
        <x:v>Week</x:v>
      </x:c>
      <x:c r="E4" s="13" t="str">
        <x:v>Phase</x:v>
      </x:c>
      <x:c r="F4" s="13" t="str">
        <x:v>Task</x:v>
      </x:c>
      <x:c r="G4" s="13" t="str">
        <x:v>Status</x:v>
      </x:c>
      <x:c r="H4" s="13" t="str">
        <x:v>Acceptance</x:v>
      </x:c>
      <x:c r="I4" s="13" t="str">
        <x:v>Owner</x:v>
      </x:c>
      <x:c r="J4" s="13" t="str">
        <x:v>GitHub Issue</x:v>
      </x:c>
    </x:row>
    <x:row r="5" ht="31" customHeight="1">
      <x:c r="A5" s="24" t="str">
        <x:v>☐</x:v>
      </x:c>
      <x:c r="B5" s="20" t="str">
        <x:v>1</x:v>
      </x:c>
      <x:c r="C5" s="20" t="str">
        <x:v>DAY-001</x:v>
      </x:c>
      <x:c r="D5" s="20" t="str">
        <x:v>1</x:v>
      </x:c>
      <x:c r="E5" s="20" t="str">
        <x:v>Research and requirements</x:v>
      </x:c>
      <x:c r="F5" s="20" t="str">
        <x:v>Freeze V1 scope, personas and measurable success criteria</x:v>
      </x:c>
      <x:c r="G5" s="20" t="str">
        <x:v>Planned</x:v>
      </x:c>
      <x:c r="H5" s="20" t="str">
        <x:v>Reviewed work artifact or documented validation evidence</x:v>
      </x:c>
      <x:c r="I5" s="20" t="str">
        <x:v>Unassigned</x:v>
      </x:c>
      <x:c r="J5" s="20" t="str"/>
    </x:row>
    <x:row r="6" ht="31" customHeight="1">
      <x:c r="A6" s="24" t="str">
        <x:v>☐</x:v>
      </x:c>
      <x:c r="B6" s="20" t="str">
        <x:v>2</x:v>
      </x:c>
      <x:c r="C6" s="20" t="str">
        <x:v>DAY-002</x:v>
      </x:c>
      <x:c r="D6" s="20" t="str">
        <x:v>1</x:v>
      </x:c>
      <x:c r="E6" s="20" t="str">
        <x:v>Research and requirements</x:v>
      </x:c>
      <x:c r="F6" s="20" t="str">
        <x:v>Interview five salaried prospective users and summarize buying pain</x:v>
      </x:c>
      <x:c r="G6" s="20" t="str">
        <x:v>Planned</x:v>
      </x:c>
      <x:c r="H6" s="20" t="str">
        <x:v>Reviewed work artifact or documented validation evidence</x:v>
      </x:c>
      <x:c r="I6" s="20" t="str">
        <x:v>Unassigned</x:v>
      </x:c>
      <x:c r="J6" s="20" t="str"/>
    </x:row>
    <x:row r="7" ht="31" customHeight="1">
      <x:c r="A7" s="24" t="str">
        <x:v>☐</x:v>
      </x:c>
      <x:c r="B7" s="20" t="str">
        <x:v>3</x:v>
      </x:c>
      <x:c r="C7" s="20" t="str">
        <x:v>DAY-003</x:v>
      </x:c>
      <x:c r="D7" s="20" t="str">
        <x:v>1</x:v>
      </x:c>
      <x:c r="E7" s="20" t="str">
        <x:v>Research and requirements</x:v>
      </x:c>
      <x:c r="F7" s="20" t="str">
        <x:v>Interview five more prospects and two CAs; identify reviewer</x:v>
      </x:c>
      <x:c r="G7" s="20" t="str">
        <x:v>Planned</x:v>
      </x:c>
      <x:c r="H7" s="20" t="str">
        <x:v>Reviewed work artifact or documented validation evidence</x:v>
      </x:c>
      <x:c r="I7" s="20" t="str">
        <x:v>Unassigned</x:v>
      </x:c>
      <x:c r="J7" s="20" t="str"/>
    </x:row>
    <x:row r="8" ht="31" customHeight="1">
      <x:c r="A8" s="24" t="str">
        <x:v>☐</x:v>
      </x:c>
      <x:c r="B8" s="20" t="str">
        <x:v>4</x:v>
      </x:c>
      <x:c r="C8" s="20" t="str">
        <x:v>DAY-004</x:v>
      </x:c>
      <x:c r="D8" s="20" t="str">
        <x:v>1</x:v>
      </x:c>
      <x:c r="E8" s="20" t="str">
        <x:v>Research and requirements</x:v>
      </x:c>
      <x:c r="F8" s="20" t="str">
        <x:v>Analyze competitors, pricing, compliance risks and name conflicts</x:v>
      </x:c>
      <x:c r="G8" s="20" t="str">
        <x:v>Planned</x:v>
      </x:c>
      <x:c r="H8" s="20" t="str">
        <x:v>Reviewed work artifact or documented validation evidence</x:v>
      </x:c>
      <x:c r="I8" s="20" t="str">
        <x:v>Unassigned</x:v>
      </x:c>
      <x:c r="J8" s="20" t="str"/>
    </x:row>
    <x:row r="9" ht="31" customHeight="1">
      <x:c r="A9" s="24" t="str">
        <x:v>☐</x:v>
      </x:c>
      <x:c r="B9" s="20" t="str">
        <x:v>5</x:v>
      </x:c>
      <x:c r="C9" s="20" t="str">
        <x:v>DAY-005</x:v>
      </x:c>
      <x:c r="D9" s="20" t="str">
        <x:v>1</x:v>
      </x:c>
      <x:c r="E9" s="20" t="str">
        <x:v>Research and requirements</x:v>
      </x:c>
      <x:c r="F9" s="20" t="str">
        <x:v>Create user journeys, wireframes, landing page and waitlist</x:v>
      </x:c>
      <x:c r="G9" s="20" t="str">
        <x:v>Planned</x:v>
      </x:c>
      <x:c r="H9" s="20" t="str">
        <x:v>Reviewed work artifact or documented validation evidence</x:v>
      </x:c>
      <x:c r="I9" s="20" t="str">
        <x:v>Unassigned</x:v>
      </x:c>
      <x:c r="J9" s="20" t="str"/>
    </x:row>
    <x:row r="10" ht="31" customHeight="1">
      <x:c r="A10" s="24" t="str">
        <x:v>☐</x:v>
      </x:c>
      <x:c r="B10" s="20" t="str">
        <x:v>6</x:v>
      </x:c>
      <x:c r="C10" s="20" t="str">
        <x:v>DAY-006</x:v>
      </x:c>
      <x:c r="D10" s="20" t="str">
        <x:v>2</x:v>
      </x:c>
      <x:c r="E10" s="20" t="str">
        <x:v>Architecture and secure foundations</x:v>
      </x:c>
      <x:c r="F10" s="20" t="str">
        <x:v>Scaffold Next.js, FastAPI, PostgreSQL, CI and local staging</x:v>
      </x:c>
      <x:c r="G10" s="20" t="str">
        <x:v>Planned</x:v>
      </x:c>
      <x:c r="H10" s="20" t="str">
        <x:v>Reviewed work artifact or documented validation evidence</x:v>
      </x:c>
      <x:c r="I10" s="20" t="str">
        <x:v>Unassigned</x:v>
      </x:c>
      <x:c r="J10" s="20" t="str"/>
    </x:row>
    <x:row r="11" ht="31" customHeight="1">
      <x:c r="A11" s="24" t="str">
        <x:v>☐</x:v>
      </x:c>
      <x:c r="B11" s="20" t="str">
        <x:v>7</x:v>
      </x:c>
      <x:c r="C11" s="20" t="str">
        <x:v>DAY-007</x:v>
      </x:c>
      <x:c r="D11" s="20" t="str">
        <x:v>2</x:v>
      </x:c>
      <x:c r="E11" s="20" t="str">
        <x:v>Architecture and secure foundations</x:v>
      </x:c>
      <x:c r="F11" s="20" t="str">
        <x:v>Design canonical ledger, ownership, Decimal amounts and migrations</x:v>
      </x:c>
      <x:c r="G11" s="20" t="str">
        <x:v>Planned</x:v>
      </x:c>
      <x:c r="H11" s="20" t="str">
        <x:v>Reviewed work artifact or documented validation evidence</x:v>
      </x:c>
      <x:c r="I11" s="20" t="str">
        <x:v>Unassigned</x:v>
      </x:c>
      <x:c r="J11" s="20" t="str"/>
    </x:row>
    <x:row r="12" ht="31" customHeight="1">
      <x:c r="A12" s="24" t="str">
        <x:v>☐</x:v>
      </x:c>
      <x:c r="B12" s="20" t="str">
        <x:v>8</x:v>
      </x:c>
      <x:c r="C12" s="20" t="str">
        <x:v>DAY-008</x:v>
      </x:c>
      <x:c r="D12" s="20" t="str">
        <x:v>2</x:v>
      </x:c>
      <x:c r="E12" s="20" t="str">
        <x:v>Architecture and secure foundations</x:v>
      </x:c>
      <x:c r="F12" s="20" t="str">
        <x:v>Implement secure authentication and session recovery</x:v>
      </x:c>
      <x:c r="G12" s="20" t="str">
        <x:v>Planned</x:v>
      </x:c>
      <x:c r="H12" s="20" t="str">
        <x:v>Reviewed work artifact or documented validation evidence</x:v>
      </x:c>
      <x:c r="I12" s="20" t="str">
        <x:v>Unassigned</x:v>
      </x:c>
      <x:c r="J12" s="20" t="str"/>
    </x:row>
    <x:row r="13" ht="31" customHeight="1">
      <x:c r="A13" s="24" t="str">
        <x:v>☐</x:v>
      </x:c>
      <x:c r="B13" s="20" t="str">
        <x:v>9</x:v>
      </x:c>
      <x:c r="C13" s="20" t="str">
        <x:v>DAY-009</x:v>
      </x:c>
      <x:c r="D13" s="20" t="str">
        <x:v>2</x:v>
      </x:c>
      <x:c r="E13" s="20" t="str">
        <x:v>Architecture and secure foundations</x:v>
      </x:c>
      <x:c r="F13" s="20" t="str">
        <x:v>Build private file uploads, scanning and async job infrastructure</x:v>
      </x:c>
      <x:c r="G13" s="20" t="str">
        <x:v>Planned</x:v>
      </x:c>
      <x:c r="H13" s="20" t="str">
        <x:v>Reviewed work artifact or documented validation evidence</x:v>
      </x:c>
      <x:c r="I13" s="20" t="str">
        <x:v>Unassigned</x:v>
      </x:c>
      <x:c r="J13" s="20" t="str"/>
    </x:row>
    <x:row r="14" ht="31" customHeight="1">
      <x:c r="A14" s="24" t="str">
        <x:v>☐</x:v>
      </x:c>
      <x:c r="B14" s="20" t="str">
        <x:v>10</x:v>
      </x:c>
      <x:c r="C14" s="20" t="str">
        <x:v>DAY-010</x:v>
      </x:c>
      <x:c r="D14" s="20" t="str">
        <x:v>2</x:v>
      </x:c>
      <x:c r="E14" s="20" t="str">
        <x:v>Architecture and secure foundations</x:v>
      </x:c>
      <x:c r="F14" s="20" t="str">
        <x:v>Implement audit events, monitoring, environment isolation and threat model</x:v>
      </x:c>
      <x:c r="G14" s="20" t="str">
        <x:v>Planned</x:v>
      </x:c>
      <x:c r="H14" s="20" t="str">
        <x:v>Reviewed work artifact or documented validation evidence</x:v>
      </x:c>
      <x:c r="I14" s="20" t="str">
        <x:v>Unassigned</x:v>
      </x:c>
      <x:c r="J14" s="20" t="str"/>
    </x:row>
    <x:row r="15" ht="31" customHeight="1">
      <x:c r="A15" s="24" t="str">
        <x:v>☐</x:v>
      </x:c>
      <x:c r="B15" s="20" t="str">
        <x:v>11</x:v>
      </x:c>
      <x:c r="C15" s="20" t="str">
        <x:v>DAY-011</x:v>
      </x:c>
      <x:c r="D15" s="20" t="str">
        <x:v>3</x:v>
      </x:c>
      <x:c r="E15" s="20" t="str">
        <x:v>First CSV importer</x:v>
      </x:c>
      <x:c r="F15" s="20" t="str">
        <x:v>Canonical transaction/account/source data contract</x:v>
      </x:c>
      <x:c r="G15" s="20" t="str">
        <x:v>Planned</x:v>
      </x:c>
      <x:c r="H15" s="20" t="str">
        <x:v>Reviewed work artifact or documented validation evidence</x:v>
      </x:c>
      <x:c r="I15" s="20" t="str">
        <x:v>Unassigned</x:v>
      </x:c>
      <x:c r="J15" s="20" t="str"/>
    </x:row>
    <x:row r="16" ht="31" customHeight="1">
      <x:c r="A16" s="24" t="str">
        <x:v>☐</x:v>
      </x:c>
      <x:c r="B16" s="20" t="str">
        <x:v>12</x:v>
      </x:c>
      <x:c r="C16" s="20" t="str">
        <x:v>DAY-012</x:v>
      </x:c>
      <x:c r="D16" s="20" t="str">
        <x:v>3</x:v>
      </x:c>
      <x:c r="E16" s="20" t="str">
        <x:v>First CSV importer</x:v>
      </x:c>
      <x:c r="F16" s="20" t="str">
        <x:v>CSV upload with flexible column matching</x:v>
      </x:c>
      <x:c r="G16" s="20" t="str">
        <x:v>Planned</x:v>
      </x:c>
      <x:c r="H16" s="20" t="str">
        <x:v>Reviewed work artifact or documented validation evidence</x:v>
      </x:c>
      <x:c r="I16" s="20" t="str">
        <x:v>Unassigned</x:v>
      </x:c>
      <x:c r="J16" s="20" t="str"/>
    </x:row>
    <x:row r="17" ht="31" customHeight="1">
      <x:c r="A17" s="24" t="str">
        <x:v>☐</x:v>
      </x:c>
      <x:c r="B17" s="20" t="str">
        <x:v>13</x:v>
      </x:c>
      <x:c r="C17" s="20" t="str">
        <x:v>DAY-013</x:v>
      </x:c>
      <x:c r="D17" s="20" t="str">
        <x:v>3</x:v>
      </x:c>
      <x:c r="E17" s="20" t="str">
        <x:v>First CSV importer</x:v>
      </x:c>
      <x:c r="F17" s="20" t="str">
        <x:v>Normalize dates, amounts and narration safely</x:v>
      </x:c>
      <x:c r="G17" s="20" t="str">
        <x:v>Planned</x:v>
      </x:c>
      <x:c r="H17" s="20" t="str">
        <x:v>Reviewed work artifact or documented validation evidence</x:v>
      </x:c>
      <x:c r="I17" s="20" t="str">
        <x:v>Unassigned</x:v>
      </x:c>
      <x:c r="J17" s="20" t="str"/>
    </x:row>
    <x:row r="18" ht="31" customHeight="1">
      <x:c r="A18" s="24" t="str">
        <x:v>☐</x:v>
      </x:c>
      <x:c r="B18" s="20" t="str">
        <x:v>14</x:v>
      </x:c>
      <x:c r="C18" s="20" t="str">
        <x:v>DAY-014</x:v>
      </x:c>
      <x:c r="D18" s="20" t="str">
        <x:v>3</x:v>
      </x:c>
      <x:c r="E18" s="20" t="str">
        <x:v>First CSV importer</x:v>
      </x:c>
      <x:c r="F18" s="20" t="str">
        <x:v>Async import workflow with row-level error recovery</x:v>
      </x:c>
      <x:c r="G18" s="20" t="str">
        <x:v>Planned</x:v>
      </x:c>
      <x:c r="H18" s="20" t="str">
        <x:v>Reviewed work artifact or documented validation evidence</x:v>
      </x:c>
      <x:c r="I18" s="20" t="str">
        <x:v>Unassigned</x:v>
      </x:c>
      <x:c r="J18" s="20" t="str"/>
    </x:row>
    <x:row r="19" ht="31" customHeight="1">
      <x:c r="A19" s="24" t="str">
        <x:v>☐</x:v>
      </x:c>
      <x:c r="B19" s="20" t="str">
        <x:v>15</x:v>
      </x:c>
      <x:c r="C19" s="20" t="str">
        <x:v>DAY-015</x:v>
      </x:c>
      <x:c r="D19" s="20" t="str">
        <x:v>3</x:v>
      </x:c>
      <x:c r="E19" s="20" t="str">
        <x:v>First CSV importer</x:v>
      </x:c>
      <x:c r="F19" s="20" t="str">
        <x:v>Import preview and user approve/reject experience</x:v>
      </x:c>
      <x:c r="G19" s="20" t="str">
        <x:v>Planned</x:v>
      </x:c>
      <x:c r="H19" s="20" t="str">
        <x:v>Reviewed work artifact or documented validation evidence</x:v>
      </x:c>
      <x:c r="I19" s="20" t="str">
        <x:v>Unassigned</x:v>
      </x:c>
      <x:c r="J19" s="20" t="str"/>
    </x:row>
    <x:row r="20" ht="31" customHeight="1">
      <x:c r="A20" s="24" t="str">
        <x:v>☐</x:v>
      </x:c>
      <x:c r="B20" s="20" t="str">
        <x:v>16</x:v>
      </x:c>
      <x:c r="C20" s="20" t="str">
        <x:v>DAY-016</x:v>
      </x:c>
      <x:c r="D20" s="20" t="str">
        <x:v>4</x:v>
      </x:c>
      <x:c r="E20" s="20" t="str">
        <x:v>Categorization and correctness</x:v>
      </x:c>
      <x:c r="F20" s="20" t="str">
        <x:v>Deduplication and idempotent transaction imports</x:v>
      </x:c>
      <x:c r="G20" s="20" t="str">
        <x:v>Planned</x:v>
      </x:c>
      <x:c r="H20" s="20" t="str">
        <x:v>Reviewed work artifact or documented validation evidence</x:v>
      </x:c>
      <x:c r="I20" s="20" t="str">
        <x:v>Unassigned</x:v>
      </x:c>
      <x:c r="J20" s="20" t="str"/>
    </x:row>
    <x:row r="21" ht="31" customHeight="1">
      <x:c r="A21" s="24" t="str">
        <x:v>☐</x:v>
      </x:c>
      <x:c r="B21" s="20" t="str">
        <x:v>17</x:v>
      </x:c>
      <x:c r="C21" s="20" t="str">
        <x:v>DAY-017</x:v>
      </x:c>
      <x:c r="D21" s="20" t="str">
        <x:v>4</x:v>
      </x:c>
      <x:c r="E21" s="20" t="str">
        <x:v>Categorization and correctness</x:v>
      </x:c>
      <x:c r="F21" s="20" t="str">
        <x:v>Merchant normalization and classification rules</x:v>
      </x:c>
      <x:c r="G21" s="20" t="str">
        <x:v>Planned</x:v>
      </x:c>
      <x:c r="H21" s="20" t="str">
        <x:v>Reviewed work artifact or documented validation evidence</x:v>
      </x:c>
      <x:c r="I21" s="20" t="str">
        <x:v>Unassigned</x:v>
      </x:c>
      <x:c r="J21" s="20" t="str"/>
    </x:row>
    <x:row r="22" ht="31" customHeight="1">
      <x:c r="A22" s="24" t="str">
        <x:v>☐</x:v>
      </x:c>
      <x:c r="B22" s="20" t="str">
        <x:v>18</x:v>
      </x:c>
      <x:c r="C22" s="20" t="str">
        <x:v>DAY-018</x:v>
      </x:c>
      <x:c r="D22" s="20" t="str">
        <x:v>4</x:v>
      </x:c>
      <x:c r="E22" s="20" t="str">
        <x:v>Categorization and correctness</x:v>
      </x:c>
      <x:c r="F22" s="20" t="str">
        <x:v>Own-account transfer, refunds, reversals and card payment logic</x:v>
      </x:c>
      <x:c r="G22" s="20" t="str">
        <x:v>Planned</x:v>
      </x:c>
      <x:c r="H22" s="20" t="str">
        <x:v>Reviewed work artifact or documented validation evidence</x:v>
      </x:c>
      <x:c r="I22" s="20" t="str">
        <x:v>Unassigned</x:v>
      </x:c>
      <x:c r="J22" s="20" t="str"/>
    </x:row>
    <x:row r="23" ht="31" customHeight="1">
      <x:c r="A23" s="24" t="str">
        <x:v>☐</x:v>
      </x:c>
      <x:c r="B23" s="20" t="str">
        <x:v>19</x:v>
      </x:c>
      <x:c r="C23" s="20" t="str">
        <x:v>DAY-019</x:v>
      </x:c>
      <x:c r="D23" s="20" t="str">
        <x:v>4</x:v>
      </x:c>
      <x:c r="E23" s="20" t="str">
        <x:v>Categorization and correctness</x:v>
      </x:c>
      <x:c r="F23" s="20" t="str">
        <x:v>Corrections, edit history, scoped user-defined rules</x:v>
      </x:c>
      <x:c r="G23" s="20" t="str">
        <x:v>Planned</x:v>
      </x:c>
      <x:c r="H23" s="20" t="str">
        <x:v>Reviewed work artifact or documented validation evidence</x:v>
      </x:c>
      <x:c r="I23" s="20" t="str">
        <x:v>Unassigned</x:v>
      </x:c>
      <x:c r="J23" s="20" t="str"/>
    </x:row>
    <x:row r="24" ht="31" customHeight="1">
      <x:c r="A24" s="24" t="str">
        <x:v>☐</x:v>
      </x:c>
      <x:c r="B24" s="20" t="str">
        <x:v>20</x:v>
      </x:c>
      <x:c r="C24" s="20" t="str">
        <x:v>DAY-020</x:v>
      </x:c>
      <x:c r="D24" s="20" t="str">
        <x:v>4</x:v>
      </x:c>
      <x:c r="E24" s="20" t="str">
        <x:v>Categorization and correctness</x:v>
      </x:c>
      <x:c r="F24" s="20" t="str">
        <x:v>Golden fixtures and accounting edge-case tests</x:v>
      </x:c>
      <x:c r="G24" s="20" t="str">
        <x:v>Planned</x:v>
      </x:c>
      <x:c r="H24" s="20" t="str">
        <x:v>Reviewed work artifact or documented validation evidence</x:v>
      </x:c>
      <x:c r="I24" s="20" t="str">
        <x:v>Unassigned</x:v>
      </x:c>
      <x:c r="J24" s="20" t="str"/>
    </x:row>
    <x:row r="25" ht="31" customHeight="1">
      <x:c r="A25" s="24" t="str">
        <x:v>☐</x:v>
      </x:c>
      <x:c r="B25" s="20" t="str">
        <x:v>21</x:v>
      </x:c>
      <x:c r="C25" s="20" t="str">
        <x:v>DAY-021</x:v>
      </x:c>
      <x:c r="D25" s="20" t="str">
        <x:v>5</x:v>
      </x:c>
      <x:c r="E25" s="20" t="str">
        <x:v>PDF and card statements</x:v>
      </x:c>
      <x:c r="F25" s="20" t="str">
        <x:v>PDF framework, parser isolation, file limits and ephemeral passwords</x:v>
      </x:c>
      <x:c r="G25" s="20" t="str">
        <x:v>Planned</x:v>
      </x:c>
      <x:c r="H25" s="20" t="str">
        <x:v>Reviewed work artifact or documented validation evidence</x:v>
      </x:c>
      <x:c r="I25" s="20" t="str">
        <x:v>Unassigned</x:v>
      </x:c>
      <x:c r="J25" s="20" t="str"/>
    </x:row>
    <x:row r="26" ht="31" customHeight="1">
      <x:c r="A26" s="24" t="str">
        <x:v>☐</x:v>
      </x:c>
      <x:c r="B26" s="20" t="str">
        <x:v>22</x:v>
      </x:c>
      <x:c r="C26" s="20" t="str">
        <x:v>DAY-022</x:v>
      </x:c>
      <x:c r="D26" s="20" t="str">
        <x:v>5</x:v>
      </x:c>
      <x:c r="E26" s="20" t="str">
        <x:v>PDF and card statements</x:v>
      </x:c>
      <x:c r="F26" s="20" t="str">
        <x:v>Bank-specific PDF parser #1 with tests</x:v>
      </x:c>
      <x:c r="G26" s="20" t="str">
        <x:v>Planned</x:v>
      </x:c>
      <x:c r="H26" s="20" t="str">
        <x:v>Reviewed work artifact or documented validation evidence</x:v>
      </x:c>
      <x:c r="I26" s="20" t="str">
        <x:v>Unassigned</x:v>
      </x:c>
      <x:c r="J26" s="20" t="str"/>
    </x:row>
    <x:row r="27" ht="31" customHeight="1">
      <x:c r="A27" s="24" t="str">
        <x:v>☐</x:v>
      </x:c>
      <x:c r="B27" s="20" t="str">
        <x:v>23</x:v>
      </x:c>
      <x:c r="C27" s="20" t="str">
        <x:v>DAY-023</x:v>
      </x:c>
      <x:c r="D27" s="20" t="str">
        <x:v>5</x:v>
      </x:c>
      <x:c r="E27" s="20" t="str">
        <x:v>PDF and card statements</x:v>
      </x:c>
      <x:c r="F27" s="20" t="str">
        <x:v>Format variants and regression tests for first bank parser</x:v>
      </x:c>
      <x:c r="G27" s="20" t="str">
        <x:v>Planned</x:v>
      </x:c>
      <x:c r="H27" s="20" t="str">
        <x:v>Reviewed work artifact or documented validation evidence</x:v>
      </x:c>
      <x:c r="I27" s="20" t="str">
        <x:v>Unassigned</x:v>
      </x:c>
      <x:c r="J27" s="20" t="str"/>
    </x:row>
    <x:row r="28" ht="31" customHeight="1">
      <x:c r="A28" s="24" t="str">
        <x:v>☐</x:v>
      </x:c>
      <x:c r="B28" s="20" t="str">
        <x:v>24</x:v>
      </x:c>
      <x:c r="C28" s="20" t="str">
        <x:v>DAY-024</x:v>
      </x:c>
      <x:c r="D28" s="20" t="str">
        <x:v>5</x:v>
      </x:c>
      <x:c r="E28" s="20" t="str">
        <x:v>PDF and card statements</x:v>
      </x:c>
      <x:c r="F28" s="20" t="str">
        <x:v>Credit-card statement adapter with purchase/payment/refund logic</x:v>
      </x:c>
      <x:c r="G28" s="20" t="str">
        <x:v>Planned</x:v>
      </x:c>
      <x:c r="H28" s="20" t="str">
        <x:v>Reviewed work artifact or documented validation evidence</x:v>
      </x:c>
      <x:c r="I28" s="20" t="str">
        <x:v>Unassigned</x:v>
      </x:c>
      <x:c r="J28" s="20" t="str"/>
    </x:row>
    <x:row r="29" ht="31" customHeight="1">
      <x:c r="A29" s="24" t="str">
        <x:v>☐</x:v>
      </x:c>
      <x:c r="B29" s="20" t="str">
        <x:v>25</x:v>
      </x:c>
      <x:c r="C29" s="20" t="str">
        <x:v>DAY-025</x:v>
      </x:c>
      <x:c r="D29" s="20" t="str">
        <x:v>5</x:v>
      </x:c>
      <x:c r="E29" s="20" t="str">
        <x:v>PDF and card statements</x:v>
      </x:c>
      <x:c r="F29" s="20" t="str">
        <x:v>Extraction preview and reconciliation warnings</x:v>
      </x:c>
      <x:c r="G29" s="20" t="str">
        <x:v>Planned</x:v>
      </x:c>
      <x:c r="H29" s="20" t="str">
        <x:v>Reviewed work artifact or documented validation evidence</x:v>
      </x:c>
      <x:c r="I29" s="20" t="str">
        <x:v>Unassigned</x:v>
      </x:c>
      <x:c r="J29" s="20" t="str"/>
    </x:row>
    <x:row r="30" ht="31" customHeight="1">
      <x:c r="A30" s="24" t="str">
        <x:v>☐</x:v>
      </x:c>
      <x:c r="B30" s="20" t="str">
        <x:v>26</x:v>
      </x:c>
      <x:c r="C30" s="20" t="str">
        <x:v>DAY-026</x:v>
      </x:c>
      <x:c r="D30" s="20" t="str">
        <x:v>6</x:v>
      </x:c>
      <x:c r="E30" s="20" t="str">
        <x:v>Data pipeline hardening</x:v>
      </x:c>
      <x:c r="F30" s="20" t="str">
        <x:v>Bank-specific PDF parser #2</x:v>
      </x:c>
      <x:c r="G30" s="20" t="str">
        <x:v>Planned</x:v>
      </x:c>
      <x:c r="H30" s="20" t="str">
        <x:v>Reviewed work artifact or documented validation evidence</x:v>
      </x:c>
      <x:c r="I30" s="20" t="str">
        <x:v>Unassigned</x:v>
      </x:c>
      <x:c r="J30" s="20" t="str"/>
    </x:row>
    <x:row r="31" ht="31" customHeight="1">
      <x:c r="A31" s="24" t="str">
        <x:v>☐</x:v>
      </x:c>
      <x:c r="B31" s="20" t="str">
        <x:v>27</x:v>
      </x:c>
      <x:c r="C31" s="20" t="str">
        <x:v>DAY-027</x:v>
      </x:c>
      <x:c r="D31" s="20" t="str">
        <x:v>6</x:v>
      </x:c>
      <x:c r="E31" s="20" t="str">
        <x:v>Data pipeline hardening</x:v>
      </x:c>
      <x:c r="F31" s="20" t="str">
        <x:v>Unsupported-format handling and manual fallback UX</x:v>
      </x:c>
      <x:c r="G31" s="20" t="str">
        <x:v>Planned</x:v>
      </x:c>
      <x:c r="H31" s="20" t="str">
        <x:v>Reviewed work artifact or documented validation evidence</x:v>
      </x:c>
      <x:c r="I31" s="20" t="str">
        <x:v>Unassigned</x:v>
      </x:c>
      <x:c r="J31" s="20" t="str"/>
    </x:row>
    <x:row r="32" ht="31" customHeight="1">
      <x:c r="A32" s="24" t="str">
        <x:v>☐</x:v>
      </x:c>
      <x:c r="B32" s="20" t="str">
        <x:v>28</x:v>
      </x:c>
      <x:c r="C32" s="20" t="str">
        <x:v>DAY-028</x:v>
      </x:c>
      <x:c r="D32" s="20" t="str">
        <x:v>6</x:v>
      </x:c>
      <x:c r="E32" s="20" t="str">
        <x:v>Data pipeline hardening</x:v>
      </x:c>
      <x:c r="F32" s="20" t="str">
        <x:v>Overlapping statement periods and reconciliation rules</x:v>
      </x:c>
      <x:c r="G32" s="20" t="str">
        <x:v>Planned</x:v>
      </x:c>
      <x:c r="H32" s="20" t="str">
        <x:v>Reviewed work artifact or documented validation evidence</x:v>
      </x:c>
      <x:c r="I32" s="20" t="str">
        <x:v>Unassigned</x:v>
      </x:c>
      <x:c r="J32" s="20" t="str"/>
    </x:row>
    <x:row r="33" ht="31" customHeight="1">
      <x:c r="A33" s="24" t="str">
        <x:v>☐</x:v>
      </x:c>
      <x:c r="B33" s="20" t="str">
        <x:v>29</x:v>
      </x:c>
      <x:c r="C33" s="20" t="str">
        <x:v>DAY-029</x:v>
      </x:c>
      <x:c r="D33" s="20" t="str">
        <x:v>6</x:v>
      </x:c>
      <x:c r="E33" s="20" t="str">
        <x:v>Data pipeline hardening</x:v>
      </x:c>
      <x:c r="F33" s="20" t="str">
        <x:v>Job retry, failure analytics and duplicate protection</x:v>
      </x:c>
      <x:c r="G33" s="20" t="str">
        <x:v>Planned</x:v>
      </x:c>
      <x:c r="H33" s="20" t="str">
        <x:v>Reviewed work artifact or documented validation evidence</x:v>
      </x:c>
      <x:c r="I33" s="20" t="str">
        <x:v>Unassigned</x:v>
      </x:c>
      <x:c r="J33" s="20" t="str"/>
    </x:row>
    <x:row r="34" ht="31" customHeight="1">
      <x:c r="A34" s="24" t="str">
        <x:v>☐</x:v>
      </x:c>
      <x:c r="B34" s="20" t="str">
        <x:v>30</x:v>
      </x:c>
      <x:c r="C34" s="20" t="str">
        <x:v>DAY-030</x:v>
      </x:c>
      <x:c r="D34" s="20" t="str">
        <x:v>6</x:v>
      </x:c>
      <x:c r="E34" s="20" t="str">
        <x:v>Data pipeline hardening</x:v>
      </x:c>
      <x:c r="F34" s="20" t="str">
        <x:v>Alpha test on anonymized fixtures; fix blocking parser bugs</x:v>
      </x:c>
      <x:c r="G34" s="20" t="str">
        <x:v>Planned</x:v>
      </x:c>
      <x:c r="H34" s="20" t="str">
        <x:v>Reviewed work artifact or documented validation evidence</x:v>
      </x:c>
      <x:c r="I34" s="20" t="str">
        <x:v>Unassigned</x:v>
      </x:c>
      <x:c r="J34" s="20" t="str"/>
    </x:row>
    <x:row r="35" ht="31" customHeight="1">
      <x:c r="A35" s="24" t="str">
        <x:v>☐</x:v>
      </x:c>
      <x:c r="B35" s="20" t="str">
        <x:v>31</x:v>
      </x:c>
      <x:c r="C35" s="20" t="str">
        <x:v>DAY-031</x:v>
      </x:c>
      <x:c r="D35" s="20" t="str">
        <x:v>7</x:v>
      </x:c>
      <x:c r="E35" s="20" t="str">
        <x:v>Financial dashboard</x:v>
      </x:c>
      <x:c r="F35" s="20" t="str">
        <x:v>Specify and implement income, spending and investment metrics</x:v>
      </x:c>
      <x:c r="G35" s="20" t="str">
        <x:v>Planned</x:v>
      </x:c>
      <x:c r="H35" s="20" t="str">
        <x:v>Reviewed work artifact or documented validation evidence</x:v>
      </x:c>
      <x:c r="I35" s="20" t="str">
        <x:v>Unassigned</x:v>
      </x:c>
      <x:c r="J35" s="20" t="str"/>
    </x:row>
    <x:row r="36" ht="31" customHeight="1">
      <x:c r="A36" s="24" t="str">
        <x:v>☐</x:v>
      </x:c>
      <x:c r="B36" s="20" t="str">
        <x:v>32</x:v>
      </x:c>
      <x:c r="C36" s="20" t="str">
        <x:v>DAY-032</x:v>
      </x:c>
      <x:c r="D36" s="20" t="str">
        <x:v>7</x:v>
      </x:c>
      <x:c r="E36" s="20" t="str">
        <x:v>Financial dashboard</x:v>
      </x:c>
      <x:c r="F36" s="20" t="str">
        <x:v>Category/merchant trends and reliable aggregation APIs</x:v>
      </x:c>
      <x:c r="G36" s="20" t="str">
        <x:v>Planned</x:v>
      </x:c>
      <x:c r="H36" s="20" t="str">
        <x:v>Reviewed work artifact or documented validation evidence</x:v>
      </x:c>
      <x:c r="I36" s="20" t="str">
        <x:v>Unassigned</x:v>
      </x:c>
      <x:c r="J36" s="20" t="str"/>
    </x:row>
    <x:row r="37" ht="31" customHeight="1">
      <x:c r="A37" s="24" t="str">
        <x:v>☐</x:v>
      </x:c>
      <x:c r="B37" s="20" t="str">
        <x:v>33</x:v>
      </x:c>
      <x:c r="C37" s="20" t="str">
        <x:v>DAY-033</x:v>
      </x:c>
      <x:c r="D37" s="20" t="str">
        <x:v>7</x:v>
      </x:c>
      <x:c r="E37" s="20" t="str">
        <x:v>Financial dashboard</x:v>
      </x:c>
      <x:c r="F37" s="20" t="str">
        <x:v>Build responsive dashboard with live imported data</x:v>
      </x:c>
      <x:c r="G37" s="20" t="str">
        <x:v>Planned</x:v>
      </x:c>
      <x:c r="H37" s="20" t="str">
        <x:v>Reviewed work artifact or documented validation evidence</x:v>
      </x:c>
      <x:c r="I37" s="20" t="str">
        <x:v>Unassigned</x:v>
      </x:c>
      <x:c r="J37" s="20" t="str"/>
    </x:row>
    <x:row r="38" ht="31" customHeight="1">
      <x:c r="A38" s="24" t="str">
        <x:v>☐</x:v>
      </x:c>
      <x:c r="B38" s="20" t="str">
        <x:v>34</x:v>
      </x:c>
      <x:c r="C38" s="20" t="str">
        <x:v>DAY-034</x:v>
      </x:c>
      <x:c r="D38" s="20" t="str">
        <x:v>7</x:v>
      </x:c>
      <x:c r="E38" s="20" t="str">
        <x:v>Financial dashboard</x:v>
      </x:c>
      <x:c r="F38" s="20" t="str">
        <x:v>Last-import timestamps, partial coverage labels and drill-down</x:v>
      </x:c>
      <x:c r="G38" s="20" t="str">
        <x:v>Planned</x:v>
      </x:c>
      <x:c r="H38" s="20" t="str">
        <x:v>Reviewed work artifact or documented validation evidence</x:v>
      </x:c>
      <x:c r="I38" s="20" t="str">
        <x:v>Unassigned</x:v>
      </x:c>
      <x:c r="J38" s="20" t="str"/>
    </x:row>
    <x:row r="39" ht="31" customHeight="1">
      <x:c r="A39" s="24" t="str">
        <x:v>☐</x:v>
      </x:c>
      <x:c r="B39" s="20" t="str">
        <x:v>35</x:v>
      </x:c>
      <x:c r="C39" s="20" t="str">
        <x:v>DAY-035</x:v>
      </x:c>
      <x:c r="D39" s="20" t="str">
        <x:v>7</x:v>
      </x:c>
      <x:c r="E39" s="20" t="str">
        <x:v>Financial dashboard</x:v>
      </x:c>
      <x:c r="F39" s="20" t="str">
        <x:v>Validate totals against independent calculations</x:v>
      </x:c>
      <x:c r="G39" s="20" t="str">
        <x:v>Planned</x:v>
      </x:c>
      <x:c r="H39" s="20" t="str">
        <x:v>Reviewed work artifact or documented validation evidence</x:v>
      </x:c>
      <x:c r="I39" s="20" t="str">
        <x:v>Unassigned</x:v>
      </x:c>
      <x:c r="J39" s="20" t="str"/>
    </x:row>
    <x:row r="40" ht="31" customHeight="1">
      <x:c r="A40" s="24" t="str">
        <x:v>☐</x:v>
      </x:c>
      <x:c r="B40" s="20" t="str">
        <x:v>36</x:v>
      </x:c>
      <x:c r="C40" s="20" t="str">
        <x:v>DAY-036</x:v>
      </x:c>
      <x:c r="D40" s="20" t="str">
        <x:v>8</x:v>
      </x:c>
      <x:c r="E40" s="20" t="str">
        <x:v>Recurring intelligence</x:v>
      </x:c>
      <x:c r="F40" s="20" t="str">
        <x:v>Recurring-charge detection heuristics</x:v>
      </x:c>
      <x:c r="G40" s="20" t="str">
        <x:v>Planned</x:v>
      </x:c>
      <x:c r="H40" s="20" t="str">
        <x:v>Reviewed work artifact or documented validation evidence</x:v>
      </x:c>
      <x:c r="I40" s="20" t="str">
        <x:v>Unassigned</x:v>
      </x:c>
      <x:c r="J40" s="20" t="str"/>
    </x:row>
    <x:row r="41" ht="31" customHeight="1">
      <x:c r="A41" s="24" t="str">
        <x:v>☐</x:v>
      </x:c>
      <x:c r="B41" s="20" t="str">
        <x:v>37</x:v>
      </x:c>
      <x:c r="C41" s="20" t="str">
        <x:v>DAY-037</x:v>
      </x:c>
      <x:c r="D41" s="20" t="str">
        <x:v>8</x:v>
      </x:c>
      <x:c r="E41" s="20" t="str">
        <x:v>Recurring intelligence</x:v>
      </x:c>
      <x:c r="F41" s="20" t="str">
        <x:v>Subscription and commitments dashboard</x:v>
      </x:c>
      <x:c r="G41" s="20" t="str">
        <x:v>Planned</x:v>
      </x:c>
      <x:c r="H41" s="20" t="str">
        <x:v>Reviewed work artifact or documented validation evidence</x:v>
      </x:c>
      <x:c r="I41" s="20" t="str">
        <x:v>Unassigned</x:v>
      </x:c>
      <x:c r="J41" s="20" t="str"/>
    </x:row>
    <x:row r="42" ht="31" customHeight="1">
      <x:c r="A42" s="24" t="str">
        <x:v>☐</x:v>
      </x:c>
      <x:c r="B42" s="20" t="str">
        <x:v>38</x:v>
      </x:c>
      <x:c r="C42" s="20" t="str">
        <x:v>DAY-038</x:v>
      </x:c>
      <x:c r="D42" s="20" t="str">
        <x:v>8</x:v>
      </x:c>
      <x:c r="E42" s="20" t="str">
        <x:v>Recurring intelligence</x:v>
      </x:c>
      <x:c r="F42" s="20" t="str">
        <x:v>Duplicate and unusual-spend alert candidates</x:v>
      </x:c>
      <x:c r="G42" s="20" t="str">
        <x:v>Planned</x:v>
      </x:c>
      <x:c r="H42" s="20" t="str">
        <x:v>Reviewed work artifact or documented validation evidence</x:v>
      </x:c>
      <x:c r="I42" s="20" t="str">
        <x:v>Unassigned</x:v>
      </x:c>
      <x:c r="J42" s="20" t="str"/>
    </x:row>
    <x:row r="43" ht="31" customHeight="1">
      <x:c r="A43" s="24" t="str">
        <x:v>☐</x:v>
      </x:c>
      <x:c r="B43" s="20" t="str">
        <x:v>39</x:v>
      </x:c>
      <x:c r="C43" s="20" t="str">
        <x:v>DAY-039</x:v>
      </x:c>
      <x:c r="D43" s="20" t="str">
        <x:v>8</x:v>
      </x:c>
      <x:c r="E43" s="20" t="str">
        <x:v>Recurring intelligence</x:v>
      </x:c>
      <x:c r="F43" s="20" t="str">
        <x:v>Monthly report builder with supporting details</x:v>
      </x:c>
      <x:c r="G43" s="20" t="str">
        <x:v>Planned</x:v>
      </x:c>
      <x:c r="H43" s="20" t="str">
        <x:v>Reviewed work artifact or documented validation evidence</x:v>
      </x:c>
      <x:c r="I43" s="20" t="str">
        <x:v>Unassigned</x:v>
      </x:c>
      <x:c r="J43" s="20" t="str"/>
    </x:row>
    <x:row r="44" ht="31" customHeight="1">
      <x:c r="A44" s="24" t="str">
        <x:v>☐</x:v>
      </x:c>
      <x:c r="B44" s="20" t="str">
        <x:v>40</x:v>
      </x:c>
      <x:c r="C44" s="20" t="str">
        <x:v>DAY-040</x:v>
      </x:c>
      <x:c r="D44" s="20" t="str">
        <x:v>8</x:v>
      </x:c>
      <x:c r="E44" s="20" t="str">
        <x:v>Recurring intelligence</x:v>
      </x:c>
      <x:c r="F44" s="20" t="str">
        <x:v>Health metric components with coverage restrictions</x:v>
      </x:c>
      <x:c r="G44" s="20" t="str">
        <x:v>Planned</x:v>
      </x:c>
      <x:c r="H44" s="20" t="str">
        <x:v>Reviewed work artifact or documented validation evidence</x:v>
      </x:c>
      <x:c r="I44" s="20" t="str">
        <x:v>Unassigned</x:v>
      </x:c>
      <x:c r="J44" s="20" t="str"/>
    </x:row>
    <x:row r="45" ht="31" customHeight="1">
      <x:c r="A45" s="24" t="str">
        <x:v>☐</x:v>
      </x:c>
      <x:c r="B45" s="20" t="str">
        <x:v>41</x:v>
      </x:c>
      <x:c r="C45" s="20" t="str">
        <x:v>DAY-041</x:v>
      </x:c>
      <x:c r="D45" s="20" t="str">
        <x:v>9</x:v>
      </x:c>
      <x:c r="E45" s="20" t="str">
        <x:v>AI money assistant</x:v>
      </x:c>
      <x:c r="F45" s="20" t="str">
        <x:v>Allowlisted AI financial tool interface with no arbitrary SQL</x:v>
      </x:c>
      <x:c r="G45" s="20" t="str">
        <x:v>Planned</x:v>
      </x:c>
      <x:c r="H45" s="20" t="str">
        <x:v>Reviewed work artifact or documented validation evidence</x:v>
      </x:c>
      <x:c r="I45" s="20" t="str">
        <x:v>Unassigned</x:v>
      </x:c>
      <x:c r="J45" s="20" t="str"/>
    </x:row>
    <x:row r="46" ht="31" customHeight="1">
      <x:c r="A46" s="24" t="str">
        <x:v>☐</x:v>
      </x:c>
      <x:c r="B46" s="20" t="str">
        <x:v>42</x:v>
      </x:c>
      <x:c r="C46" s="20" t="str">
        <x:v>DAY-042</x:v>
      </x:c>
      <x:c r="D46" s="20" t="str">
        <x:v>9</x:v>
      </x:c>
      <x:c r="E46" s="20" t="str">
        <x:v>AI money assistant</x:v>
      </x:c>
      <x:c r="F46" s="20" t="str">
        <x:v>Question routing and deterministic tool results</x:v>
      </x:c>
      <x:c r="G46" s="20" t="str">
        <x:v>Planned</x:v>
      </x:c>
      <x:c r="H46" s="20" t="str">
        <x:v>Reviewed work artifact or documented validation evidence</x:v>
      </x:c>
      <x:c r="I46" s="20" t="str">
        <x:v>Unassigned</x:v>
      </x:c>
      <x:c r="J46" s="20" t="str"/>
    </x:row>
    <x:row r="47" ht="31" customHeight="1">
      <x:c r="A47" s="24" t="str">
        <x:v>☐</x:v>
      </x:c>
      <x:c r="B47" s="20" t="str">
        <x:v>43</x:v>
      </x:c>
      <x:c r="C47" s="20" t="str">
        <x:v>DAY-043</x:v>
      </x:c>
      <x:c r="D47" s="20" t="str">
        <x:v>9</x:v>
      </x:c>
      <x:c r="E47" s="20" t="str">
        <x:v>AI money assistant</x:v>
      </x:c>
      <x:c r="F47" s="20" t="str">
        <x:v>AI chat UI and usage limits</x:v>
      </x:c>
      <x:c r="G47" s="20" t="str">
        <x:v>Planned</x:v>
      </x:c>
      <x:c r="H47" s="20" t="str">
        <x:v>Reviewed work artifact or documented validation evidence</x:v>
      </x:c>
      <x:c r="I47" s="20" t="str">
        <x:v>Unassigned</x:v>
      </x:c>
      <x:c r="J47" s="20" t="str"/>
    </x:row>
    <x:row r="48" ht="31" customHeight="1">
      <x:c r="A48" s="24" t="str">
        <x:v>☐</x:v>
      </x:c>
      <x:c r="B48" s="20" t="str">
        <x:v>44</x:v>
      </x:c>
      <x:c r="C48" s="20" t="str">
        <x:v>DAY-044</x:v>
      </x:c>
      <x:c r="D48" s="20" t="str">
        <x:v>9</x:v>
      </x:c>
      <x:c r="E48" s="20" t="str">
        <x:v>AI money assistant</x:v>
      </x:c>
      <x:c r="F48" s="20" t="str">
        <x:v>Source-backed answers, prompt redaction and traceability</x:v>
      </x:c>
      <x:c r="G48" s="20" t="str">
        <x:v>Planned</x:v>
      </x:c>
      <x:c r="H48" s="20" t="str">
        <x:v>Reviewed work artifact or documented validation evidence</x:v>
      </x:c>
      <x:c r="I48" s="20" t="str">
        <x:v>Unassigned</x:v>
      </x:c>
      <x:c r="J48" s="20" t="str"/>
    </x:row>
    <x:row r="49" ht="31" customHeight="1">
      <x:c r="A49" s="24" t="str">
        <x:v>☐</x:v>
      </x:c>
      <x:c r="B49" s="20" t="str">
        <x:v>45</x:v>
      </x:c>
      <x:c r="C49" s="20" t="str">
        <x:v>DAY-045</x:v>
      </x:c>
      <x:c r="D49" s="20" t="str">
        <x:v>9</x:v>
      </x:c>
      <x:c r="E49" s="20" t="str">
        <x:v>AI money assistant</x:v>
      </x:c>
      <x:c r="F49" s="20" t="str">
        <x:v>Adversarial and numeric test corpus including prompt injection</x:v>
      </x:c>
      <x:c r="G49" s="20" t="str">
        <x:v>Planned</x:v>
      </x:c>
      <x:c r="H49" s="20" t="str">
        <x:v>Reviewed work artifact or documented validation evidence</x:v>
      </x:c>
      <x:c r="I49" s="20" t="str">
        <x:v>Unassigned</x:v>
      </x:c>
      <x:c r="J49" s="20" t="str"/>
    </x:row>
    <x:row r="50" ht="31" customHeight="1">
      <x:c r="A50" s="24" t="str">
        <x:v>☐</x:v>
      </x:c>
      <x:c r="B50" s="20" t="str">
        <x:v>46</x:v>
      </x:c>
      <x:c r="C50" s="20" t="str">
        <x:v>DAY-046</x:v>
      </x:c>
      <x:c r="D50" s="20" t="str">
        <x:v>10</x:v>
      </x:c>
      <x:c r="E50" s="20" t="str">
        <x:v>Tax-document foundation</x:v>
      </x:c>
      <x:c r="F50" s="20" t="str">
        <x:v>Private tax vault and document metadata</x:v>
      </x:c>
      <x:c r="G50" s="20" t="str">
        <x:v>Planned</x:v>
      </x:c>
      <x:c r="H50" s="20" t="str">
        <x:v>Reviewed work artifact or documented validation evidence</x:v>
      </x:c>
      <x:c r="I50" s="20" t="str">
        <x:v>Unassigned</x:v>
      </x:c>
      <x:c r="J50" s="20" t="str"/>
    </x:row>
    <x:row r="51" ht="31" customHeight="1">
      <x:c r="A51" s="24" t="str">
        <x:v>☐</x:v>
      </x:c>
      <x:c r="B51" s="20" t="str">
        <x:v>47</x:v>
      </x:c>
      <x:c r="C51" s="20" t="str">
        <x:v>DAY-047</x:v>
      </x:c>
      <x:c r="D51" s="20" t="str">
        <x:v>10</x:v>
      </x:c>
      <x:c r="E51" s="20" t="str">
        <x:v>Tax-document foundation</x:v>
      </x:c>
      <x:c r="F51" s="20" t="str">
        <x:v>Historic FY/AY plus new Tax Year data model</x:v>
      </x:c>
      <x:c r="G51" s="20" t="str">
        <x:v>Planned</x:v>
      </x:c>
      <x:c r="H51" s="20" t="str">
        <x:v>Reviewed work artifact or documented validation evidence</x:v>
      </x:c>
      <x:c r="I51" s="20" t="str">
        <x:v>Unassigned</x:v>
      </x:c>
      <x:c r="J51" s="20" t="str"/>
    </x:row>
    <x:row r="52" ht="31" customHeight="1">
      <x:c r="A52" s="24" t="str">
        <x:v>☐</x:v>
      </x:c>
      <x:c r="B52" s="20" t="str">
        <x:v>48</x:v>
      </x:c>
      <x:c r="C52" s="20" t="str">
        <x:v>DAY-048</x:v>
      </x:c>
      <x:c r="D52" s="20" t="str">
        <x:v>10</x:v>
      </x:c>
      <x:c r="E52" s="20" t="str">
        <x:v>Tax-document foundation</x:v>
      </x:c>
      <x:c r="F52" s="20" t="str">
        <x:v>Form 16 upload and reviewed fields</x:v>
      </x:c>
      <x:c r="G52" s="20" t="str">
        <x:v>Planned</x:v>
      </x:c>
      <x:c r="H52" s="20" t="str">
        <x:v>Reviewed work artifact or documented validation evidence</x:v>
      </x:c>
      <x:c r="I52" s="20" t="str">
        <x:v>Unassigned</x:v>
      </x:c>
      <x:c r="J52" s="20" t="str"/>
    </x:row>
    <x:row r="53" ht="31" customHeight="1">
      <x:c r="A53" s="24" t="str">
        <x:v>☐</x:v>
      </x:c>
      <x:c r="B53" s="20" t="str">
        <x:v>49</x:v>
      </x:c>
      <x:c r="C53" s="20" t="str">
        <x:v>DAY-049</x:v>
      </x:c>
      <x:c r="D53" s="20" t="str">
        <x:v>10</x:v>
      </x:c>
      <x:c r="E53" s="20" t="str">
        <x:v>Tax-document foundation</x:v>
      </x:c>
      <x:c r="F53" s="20" t="str">
        <x:v>AIS/TIS upload workflow and document tagging</x:v>
      </x:c>
      <x:c r="G53" s="20" t="str">
        <x:v>Planned</x:v>
      </x:c>
      <x:c r="H53" s="20" t="str">
        <x:v>Reviewed work artifact or documented validation evidence</x:v>
      </x:c>
      <x:c r="I53" s="20" t="str">
        <x:v>Unassigned</x:v>
      </x:c>
      <x:c r="J53" s="20" t="str"/>
    </x:row>
    <x:row r="54" ht="31" customHeight="1">
      <x:c r="A54" s="24" t="str">
        <x:v>☐</x:v>
      </x:c>
      <x:c r="B54" s="20" t="str">
        <x:v>50</x:v>
      </x:c>
      <x:c r="C54" s="20" t="str">
        <x:v>DAY-050</x:v>
      </x:c>
      <x:c r="D54" s="20" t="str">
        <x:v>10</x:v>
      </x:c>
      <x:c r="E54" s="20" t="str">
        <x:v>Tax-document foundation</x:v>
      </x:c>
      <x:c r="F54" s="20" t="str">
        <x:v>Income-specific tax-readiness and missing-document checks</x:v>
      </x:c>
      <x:c r="G54" s="20" t="str">
        <x:v>Planned</x:v>
      </x:c>
      <x:c r="H54" s="20" t="str">
        <x:v>Reviewed work artifact or documented validation evidence</x:v>
      </x:c>
      <x:c r="I54" s="20" t="str">
        <x:v>Unassigned</x:v>
      </x:c>
      <x:c r="J54" s="20" t="str"/>
    </x:row>
    <x:row r="55" ht="31" customHeight="1">
      <x:c r="A55" s="24" t="str">
        <x:v>☐</x:v>
      </x:c>
      <x:c r="B55" s="20" t="str">
        <x:v>51</x:v>
      </x:c>
      <x:c r="C55" s="20" t="str">
        <x:v>DAY-051</x:v>
      </x:c>
      <x:c r="D55" s="20" t="str">
        <x:v>11</x:v>
      </x:c>
      <x:c r="E55" s="20" t="str">
        <x:v>Policy and expert review</x:v>
      </x:c>
      <x:c r="F55" s="20" t="str">
        <x:v>Versioned tax-rule metadata with source/effective date</x:v>
      </x:c>
      <x:c r="G55" s="20" t="str">
        <x:v>Planned</x:v>
      </x:c>
      <x:c r="H55" s="20" t="str">
        <x:v>Reviewed work artifact or documented validation evidence</x:v>
      </x:c>
      <x:c r="I55" s="20" t="str">
        <x:v>Unassigned</x:v>
      </x:c>
      <x:c r="J55" s="20" t="str"/>
    </x:row>
    <x:row r="56" ht="31" customHeight="1">
      <x:c r="A56" s="24" t="str">
        <x:v>☐</x:v>
      </x:c>
      <x:c r="B56" s="20" t="str">
        <x:v>52</x:v>
      </x:c>
      <x:c r="C56" s="20" t="str">
        <x:v>DAY-052</x:v>
      </x:c>
      <x:c r="D56" s="20" t="str">
        <x:v>11</x:v>
      </x:c>
      <x:c r="E56" s="20" t="str">
        <x:v>Policy and expert review</x:v>
      </x:c>
      <x:c r="F56" s="20" t="str">
        <x:v>Policy admin entry, review and publish workflow</x:v>
      </x:c>
      <x:c r="G56" s="20" t="str">
        <x:v>Planned</x:v>
      </x:c>
      <x:c r="H56" s="20" t="str">
        <x:v>Reviewed work artifact or documented validation evidence</x:v>
      </x:c>
      <x:c r="I56" s="20" t="str">
        <x:v>Unassigned</x:v>
      </x:c>
      <x:c r="J56" s="20" t="str"/>
    </x:row>
    <x:row r="57" ht="31" customHeight="1">
      <x:c r="A57" s="24" t="str">
        <x:v>☐</x:v>
      </x:c>
      <x:c r="B57" s="20" t="str">
        <x:v>53</x:v>
      </x:c>
      <x:c r="C57" s="20" t="str">
        <x:v>DAY-053</x:v>
      </x:c>
      <x:c r="D57" s="20" t="str">
        <x:v>11</x:v>
      </x:c>
      <x:c r="E57" s="20" t="str">
        <x:v>Policy and expert review</x:v>
      </x:c>
      <x:c r="F57" s="20" t="str">
        <x:v>Historic source linking and rule-set applicability</x:v>
      </x:c>
      <x:c r="G57" s="20" t="str">
        <x:v>Planned</x:v>
      </x:c>
      <x:c r="H57" s="20" t="str">
        <x:v>Reviewed work artifact or documented validation evidence</x:v>
      </x:c>
      <x:c r="I57" s="20" t="str">
        <x:v>Unassigned</x:v>
      </x:c>
      <x:c r="J57" s="20" t="str"/>
    </x:row>
    <x:row r="58" ht="31" customHeight="1">
      <x:c r="A58" s="24" t="str">
        <x:v>☐</x:v>
      </x:c>
      <x:c r="B58" s="20" t="str">
        <x:v>54</x:v>
      </x:c>
      <x:c r="C58" s="20" t="str">
        <x:v>DAY-054</x:v>
      </x:c>
      <x:c r="D58" s="20" t="str">
        <x:v>11</x:v>
      </x:c>
      <x:c r="E58" s="20" t="str">
        <x:v>Policy and expert review</x:v>
      </x:c>
      <x:c r="F58" s="20" t="str">
        <x:v>Audit, rollback and protected publication process</x:v>
      </x:c>
      <x:c r="G58" s="20" t="str">
        <x:v>Planned</x:v>
      </x:c>
      <x:c r="H58" s="20" t="str">
        <x:v>Reviewed work artifact or documented validation evidence</x:v>
      </x:c>
      <x:c r="I58" s="20" t="str">
        <x:v>Unassigned</x:v>
      </x:c>
      <x:c r="J58" s="20" t="str"/>
    </x:row>
    <x:row r="59" ht="31" customHeight="1">
      <x:c r="A59" s="24" t="str">
        <x:v>☐</x:v>
      </x:c>
      <x:c r="B59" s="20" t="str">
        <x:v>55</x:v>
      </x:c>
      <x:c r="C59" s="20" t="str">
        <x:v>DAY-055</x:v>
      </x:c>
      <x:c r="D59" s="20" t="str">
        <x:v>11</x:v>
      </x:c>
      <x:c r="E59" s="20" t="str">
        <x:v>Policy and expert review</x:v>
      </x:c>
      <x:c r="F59" s="20" t="str">
        <x:v>Qualified tax-expert check of supported content and examples</x:v>
      </x:c>
      <x:c r="G59" s="20" t="str">
        <x:v>Planned</x:v>
      </x:c>
      <x:c r="H59" s="20" t="str">
        <x:v>Reviewed work artifact or documented validation evidence</x:v>
      </x:c>
      <x:c r="I59" s="20" t="str">
        <x:v>Unassigned</x:v>
      </x:c>
      <x:c r="J59" s="20" t="str"/>
    </x:row>
    <x:row r="60" ht="31" customHeight="1">
      <x:c r="A60" s="24" t="str">
        <x:v>☐</x:v>
      </x:c>
      <x:c r="B60" s="20" t="str">
        <x:v>56</x:v>
      </x:c>
      <x:c r="C60" s="20" t="str">
        <x:v>DAY-056</x:v>
      </x:c>
      <x:c r="D60" s="20" t="str">
        <x:v>12</x:v>
      </x:c>
      <x:c r="E60" s="20" t="str">
        <x:v>CA collaboration</x:v>
      </x:c>
      <x:c r="F60" s="20" t="str">
        <x:v>Generate accountant-ready annual financial package</x:v>
      </x:c>
      <x:c r="G60" s="20" t="str">
        <x:v>Planned</x:v>
      </x:c>
      <x:c r="H60" s="20" t="str">
        <x:v>Reviewed work artifact or documented validation evidence</x:v>
      </x:c>
      <x:c r="I60" s="20" t="str">
        <x:v>Unassigned</x:v>
      </x:c>
      <x:c r="J60" s="20" t="str"/>
    </x:row>
    <x:row r="61" ht="31" customHeight="1">
      <x:c r="A61" s="24" t="str">
        <x:v>☐</x:v>
      </x:c>
      <x:c r="B61" s="20" t="str">
        <x:v>57</x:v>
      </x:c>
      <x:c r="C61" s="20" t="str">
        <x:v>DAY-057</x:v>
      </x:c>
      <x:c r="D61" s="20" t="str">
        <x:v>12</x:v>
      </x:c>
      <x:c r="E61" s="20" t="str">
        <x:v>CA collaboration</x:v>
      </x:c>
      <x:c r="F61" s="20" t="str">
        <x:v>Explicit limited-scope consent for CA sharing</x:v>
      </x:c>
      <x:c r="G61" s="20" t="str">
        <x:v>Planned</x:v>
      </x:c>
      <x:c r="H61" s="20" t="str">
        <x:v>Reviewed work artifact or documented validation evidence</x:v>
      </x:c>
      <x:c r="I61" s="20" t="str">
        <x:v>Unassigned</x:v>
      </x:c>
      <x:c r="J61" s="20" t="str"/>
    </x:row>
    <x:row r="62" ht="31" customHeight="1">
      <x:c r="A62" s="24" t="str">
        <x:v>☐</x:v>
      </x:c>
      <x:c r="B62" s="20" t="str">
        <x:v>58</x:v>
      </x:c>
      <x:c r="C62" s="20" t="str">
        <x:v>DAY-058</x:v>
      </x:c>
      <x:c r="D62" s="20" t="str">
        <x:v>12</x:v>
      </x:c>
      <x:c r="E62" s="20" t="str">
        <x:v>CA collaboration</x:v>
      </x:c>
      <x:c r="F62" s="20" t="str">
        <x:v>Time-limited invitation and scoped CA access</x:v>
      </x:c>
      <x:c r="G62" s="20" t="str">
        <x:v>Planned</x:v>
      </x:c>
      <x:c r="H62" s="20" t="str">
        <x:v>Reviewed work artifact or documented validation evidence</x:v>
      </x:c>
      <x:c r="I62" s="20" t="str">
        <x:v>Unassigned</x:v>
      </x:c>
      <x:c r="J62" s="20" t="str"/>
    </x:row>
    <x:row r="63" ht="31" customHeight="1">
      <x:c r="A63" s="24" t="str">
        <x:v>☐</x:v>
      </x:c>
      <x:c r="B63" s="20" t="str">
        <x:v>59</x:v>
      </x:c>
      <x:c r="C63" s="20" t="str">
        <x:v>DAY-059</x:v>
      </x:c>
      <x:c r="D63" s="20" t="str">
        <x:v>12</x:v>
      </x:c>
      <x:c r="E63" s="20" t="str">
        <x:v>CA collaboration</x:v>
      </x:c>
      <x:c r="F63" s="20" t="str">
        <x:v>Revocation, expiry and access audit tests</x:v>
      </x:c>
      <x:c r="G63" s="20" t="str">
        <x:v>Planned</x:v>
      </x:c>
      <x:c r="H63" s="20" t="str">
        <x:v>Reviewed work artifact or documented validation evidence</x:v>
      </x:c>
      <x:c r="I63" s="20" t="str">
        <x:v>Unassigned</x:v>
      </x:c>
      <x:c r="J63" s="20" t="str"/>
    </x:row>
    <x:row r="64" ht="31" customHeight="1">
      <x:c r="A64" s="24" t="str">
        <x:v>☐</x:v>
      </x:c>
      <x:c r="B64" s="20" t="str">
        <x:v>60</x:v>
      </x:c>
      <x:c r="C64" s="20" t="str">
        <x:v>DAY-060</x:v>
      </x:c>
      <x:c r="D64" s="20" t="str">
        <x:v>12</x:v>
      </x:c>
      <x:c r="E64" s="20" t="str">
        <x:v>CA collaboration</x:v>
      </x:c>
      <x:c r="F64" s="20" t="str">
        <x:v>End-to-end beta integration test and feature freeze</x:v>
      </x:c>
      <x:c r="G64" s="20" t="str">
        <x:v>Planned</x:v>
      </x:c>
      <x:c r="H64" s="20" t="str">
        <x:v>Reviewed work artifact or documented validation evidence</x:v>
      </x:c>
      <x:c r="I64" s="20" t="str">
        <x:v>Unassigned</x:v>
      </x:c>
      <x:c r="J64" s="20" t="str"/>
    </x:row>
    <x:row r="65" ht="31" customHeight="1">
      <x:c r="A65" s="24" t="str">
        <x:v>☐</x:v>
      </x:c>
      <x:c r="B65" s="20" t="str">
        <x:v>61</x:v>
      </x:c>
      <x:c r="C65" s="20" t="str">
        <x:v>DAY-061</x:v>
      </x:c>
      <x:c r="D65" s="20" t="str">
        <x:v>13</x:v>
      </x:c>
      <x:c r="E65" s="20" t="str">
        <x:v>Billing</x:v>
      </x:c>
      <x:c r="F65" s="20" t="str">
        <x:v>Plan and entitlements model with backend-enforced limits</x:v>
      </x:c>
      <x:c r="G65" s="20" t="str">
        <x:v>Planned</x:v>
      </x:c>
      <x:c r="H65" s="20" t="str">
        <x:v>Reviewed work artifact or documented validation evidence</x:v>
      </x:c>
      <x:c r="I65" s="20" t="str">
        <x:v>Unassigned</x:v>
      </x:c>
      <x:c r="J65" s="20" t="str"/>
    </x:row>
    <x:row r="66" ht="31" customHeight="1">
      <x:c r="A66" s="24" t="str">
        <x:v>☐</x:v>
      </x:c>
      <x:c r="B66" s="20" t="str">
        <x:v>62</x:v>
      </x:c>
      <x:c r="C66" s="20" t="str">
        <x:v>DAY-062</x:v>
      </x:c>
      <x:c r="D66" s="20" t="str">
        <x:v>13</x:v>
      </x:c>
      <x:c r="E66" s="20" t="str">
        <x:v>Billing</x:v>
      </x:c>
      <x:c r="F66" s="20" t="str">
        <x:v>Payment checkout and paid-order verification</x:v>
      </x:c>
      <x:c r="G66" s="20" t="str">
        <x:v>Planned</x:v>
      </x:c>
      <x:c r="H66" s="20" t="str">
        <x:v>Reviewed work artifact or documented validation evidence</x:v>
      </x:c>
      <x:c r="I66" s="20" t="str">
        <x:v>Unassigned</x:v>
      </x:c>
      <x:c r="J66" s="20" t="str"/>
    </x:row>
    <x:row r="67" ht="31" customHeight="1">
      <x:c r="A67" s="24" t="str">
        <x:v>☐</x:v>
      </x:c>
      <x:c r="B67" s="20" t="str">
        <x:v>63</x:v>
      </x:c>
      <x:c r="C67" s="20" t="str">
        <x:v>DAY-063</x:v>
      </x:c>
      <x:c r="D67" s="20" t="str">
        <x:v>13</x:v>
      </x:c>
      <x:c r="E67" s="20" t="str">
        <x:v>Billing</x:v>
      </x:c>
      <x:c r="F67" s="20" t="str">
        <x:v>Webhook signature checks, replay and idempotency tests</x:v>
      </x:c>
      <x:c r="G67" s="20" t="str">
        <x:v>Planned</x:v>
      </x:c>
      <x:c r="H67" s="20" t="str">
        <x:v>Reviewed work artifact or documented validation evidence</x:v>
      </x:c>
      <x:c r="I67" s="20" t="str">
        <x:v>Unassigned</x:v>
      </x:c>
      <x:c r="J67" s="20" t="str"/>
    </x:row>
    <x:row r="68" ht="31" customHeight="1">
      <x:c r="A68" s="24" t="str">
        <x:v>☐</x:v>
      </x:c>
      <x:c r="B68" s="20" t="str">
        <x:v>64</x:v>
      </x:c>
      <x:c r="C68" s="20" t="str">
        <x:v>DAY-064</x:v>
      </x:c>
      <x:c r="D68" s="20" t="str">
        <x:v>13</x:v>
      </x:c>
      <x:c r="E68" s="20" t="str">
        <x:v>Billing</x:v>
      </x:c>
      <x:c r="F68" s="20" t="str">
        <x:v>Refunds, failed payments, receipts and cancellations</x:v>
      </x:c>
      <x:c r="G68" s="20" t="str">
        <x:v>Planned</x:v>
      </x:c>
      <x:c r="H68" s="20" t="str">
        <x:v>Reviewed work artifact or documented validation evidence</x:v>
      </x:c>
      <x:c r="I68" s="20" t="str">
        <x:v>Unassigned</x:v>
      </x:c>
      <x:c r="J68" s="20" t="str"/>
    </x:row>
    <x:row r="69" ht="31" customHeight="1">
      <x:c r="A69" s="24" t="str">
        <x:v>☐</x:v>
      </x:c>
      <x:c r="B69" s="20" t="str">
        <x:v>65</x:v>
      </x:c>
      <x:c r="C69" s="20" t="str">
        <x:v>DAY-065</x:v>
      </x:c>
      <x:c r="D69" s="20" t="str">
        <x:v>13</x:v>
      </x:c>
      <x:c r="E69" s="20" t="str">
        <x:v>Billing</x:v>
      </x:c>
      <x:c r="F69" s="20" t="str">
        <x:v>Pricing/upgrade/paywall UX and sandbox billing rehearsal</x:v>
      </x:c>
      <x:c r="G69" s="20" t="str">
        <x:v>Planned</x:v>
      </x:c>
      <x:c r="H69" s="20" t="str">
        <x:v>Reviewed work artifact or documented validation evidence</x:v>
      </x:c>
      <x:c r="I69" s="20" t="str">
        <x:v>Unassigned</x:v>
      </x:c>
      <x:c r="J69" s="20" t="str"/>
    </x:row>
    <x:row r="70" ht="31" customHeight="1">
      <x:c r="A70" s="24" t="str">
        <x:v>☐</x:v>
      </x:c>
      <x:c r="B70" s="20" t="str">
        <x:v>66</x:v>
      </x:c>
      <x:c r="C70" s="20" t="str">
        <x:v>DAY-066</x:v>
      </x:c>
      <x:c r="D70" s="20" t="str">
        <x:v>14</x:v>
      </x:c>
      <x:c r="E70" s="20" t="str">
        <x:v>Legal and operational hardening</x:v>
      </x:c>
      <x:c r="F70" s="20" t="str">
        <x:v>Consent and privacy controls in app</x:v>
      </x:c>
      <x:c r="G70" s="20" t="str">
        <x:v>Planned</x:v>
      </x:c>
      <x:c r="H70" s="20" t="str">
        <x:v>Reviewed work artifact or documented validation evidence</x:v>
      </x:c>
      <x:c r="I70" s="20" t="str">
        <x:v>Unassigned</x:v>
      </x:c>
      <x:c r="J70" s="20" t="str"/>
    </x:row>
    <x:row r="71" ht="31" customHeight="1">
      <x:c r="A71" s="24" t="str">
        <x:v>☐</x:v>
      </x:c>
      <x:c r="B71" s="20" t="str">
        <x:v>67</x:v>
      </x:c>
      <x:c r="C71" s="20" t="str">
        <x:v>DAY-067</x:v>
      </x:c>
      <x:c r="D71" s="20" t="str">
        <x:v>14</x:v>
      </x:c>
      <x:c r="E71" s="20" t="str">
        <x:v>Legal and operational hardening</x:v>
      </x:c>
      <x:c r="F71" s="20" t="str">
        <x:v>User data exports, deletion requests and retention policies</x:v>
      </x:c>
      <x:c r="G71" s="20" t="str">
        <x:v>Planned</x:v>
      </x:c>
      <x:c r="H71" s="20" t="str">
        <x:v>Reviewed work artifact or documented validation evidence</x:v>
      </x:c>
      <x:c r="I71" s="20" t="str">
        <x:v>Unassigned</x:v>
      </x:c>
      <x:c r="J71" s="20" t="str"/>
    </x:row>
    <x:row r="72" ht="31" customHeight="1">
      <x:c r="A72" s="24" t="str">
        <x:v>☐</x:v>
      </x:c>
      <x:c r="B72" s="20" t="str">
        <x:v>68</x:v>
      </x:c>
      <x:c r="C72" s="20" t="str">
        <x:v>DAY-068</x:v>
      </x:c>
      <x:c r="D72" s="20" t="str">
        <x:v>14</x:v>
      </x:c>
      <x:c r="E72" s="20" t="str">
        <x:v>Legal and operational hardening</x:v>
      </x:c>
      <x:c r="F72" s="20" t="str">
        <x:v>Legal review of privacy, terms, cancellation and disclaimers</x:v>
      </x:c>
      <x:c r="G72" s="20" t="str">
        <x:v>Planned</x:v>
      </x:c>
      <x:c r="H72" s="20" t="str">
        <x:v>Reviewed work artifact or documented validation evidence</x:v>
      </x:c>
      <x:c r="I72" s="20" t="str">
        <x:v>Unassigned</x:v>
      </x:c>
      <x:c r="J72" s="20" t="str"/>
    </x:row>
    <x:row r="73" ht="31" customHeight="1">
      <x:c r="A73" s="24" t="str">
        <x:v>☐</x:v>
      </x:c>
      <x:c r="B73" s="20" t="str">
        <x:v>69</x:v>
      </x:c>
      <x:c r="C73" s="20" t="str">
        <x:v>DAY-069</x:v>
      </x:c>
      <x:c r="D73" s="20" t="str">
        <x:v>14</x:v>
      </x:c>
      <x:c r="E73" s="20" t="str">
        <x:v>Legal and operational hardening</x:v>
      </x:c>
      <x:c r="F73" s="20" t="str">
        <x:v>Support workflow and incident escalation</x:v>
      </x:c>
      <x:c r="G73" s="20" t="str">
        <x:v>Planned</x:v>
      </x:c>
      <x:c r="H73" s="20" t="str">
        <x:v>Reviewed work artifact or documented validation evidence</x:v>
      </x:c>
      <x:c r="I73" s="20" t="str">
        <x:v>Unassigned</x:v>
      </x:c>
      <x:c r="J73" s="20" t="str"/>
    </x:row>
    <x:row r="74" ht="31" customHeight="1">
      <x:c r="A74" s="24" t="str">
        <x:v>☐</x:v>
      </x:c>
      <x:c r="B74" s="20" t="str">
        <x:v>70</x:v>
      </x:c>
      <x:c r="C74" s="20" t="str">
        <x:v>DAY-070</x:v>
      </x:c>
      <x:c r="D74" s="20" t="str">
        <x:v>14</x:v>
      </x:c>
      <x:c r="E74" s="20" t="str">
        <x:v>Legal and operational hardening</x:v>
      </x:c>
      <x:c r="F74" s="20" t="str">
        <x:v>Automated security checks and remediation list</x:v>
      </x:c>
      <x:c r="G74" s="20" t="str">
        <x:v>Planned</x:v>
      </x:c>
      <x:c r="H74" s="20" t="str">
        <x:v>Reviewed work artifact or documented validation evidence</x:v>
      </x:c>
      <x:c r="I74" s="20" t="str">
        <x:v>Unassigned</x:v>
      </x:c>
      <x:c r="J74" s="20" t="str"/>
    </x:row>
    <x:row r="75" ht="31" customHeight="1">
      <x:c r="A75" s="24" t="str">
        <x:v>☐</x:v>
      </x:c>
      <x:c r="B75" s="20" t="str">
        <x:v>71</x:v>
      </x:c>
      <x:c r="C75" s="20" t="str">
        <x:v>DAY-071</x:v>
      </x:c>
      <x:c r="D75" s="20" t="str">
        <x:v>15</x:v>
      </x:c>
      <x:c r="E75" s="20" t="str">
        <x:v>Release candidate</x:v>
      </x:c>
      <x:c r="F75" s="20" t="str">
        <x:v>Full integration/E2E regression and authorization tests</x:v>
      </x:c>
      <x:c r="G75" s="20" t="str">
        <x:v>Planned</x:v>
      </x:c>
      <x:c r="H75" s="20" t="str">
        <x:v>Reviewed work artifact or documented validation evidence</x:v>
      </x:c>
      <x:c r="I75" s="20" t="str">
        <x:v>Unassigned</x:v>
      </x:c>
      <x:c r="J75" s="20" t="str"/>
    </x:row>
    <x:row r="76" ht="31" customHeight="1">
      <x:c r="A76" s="24" t="str">
        <x:v>☐</x:v>
      </x:c>
      <x:c r="B76" s="20" t="str">
        <x:v>72</x:v>
      </x:c>
      <x:c r="C76" s="20" t="str">
        <x:v>DAY-072</x:v>
      </x:c>
      <x:c r="D76" s="20" t="str">
        <x:v>15</x:v>
      </x:c>
      <x:c r="E76" s="20" t="str">
        <x:v>Release candidate</x:v>
      </x:c>
      <x:c r="F76" s="20" t="str">
        <x:v>Financial correctness and all supported format fixtures</x:v>
      </x:c>
      <x:c r="G76" s="20" t="str">
        <x:v>Planned</x:v>
      </x:c>
      <x:c r="H76" s="20" t="str">
        <x:v>Reviewed work artifact or documented validation evidence</x:v>
      </x:c>
      <x:c r="I76" s="20" t="str">
        <x:v>Unassigned</x:v>
      </x:c>
      <x:c r="J76" s="20" t="str"/>
    </x:row>
    <x:row r="77" ht="31" customHeight="1">
      <x:c r="A77" s="24" t="str">
        <x:v>☐</x:v>
      </x:c>
      <x:c r="B77" s="20" t="str">
        <x:v>73</x:v>
      </x:c>
      <x:c r="C77" s="20" t="str">
        <x:v>DAY-073</x:v>
      </x:c>
      <x:c r="D77" s="20" t="str">
        <x:v>15</x:v>
      </x:c>
      <x:c r="E77" s="20" t="str">
        <x:v>Release candidate</x:v>
      </x:c>
      <x:c r="F77" s="20" t="str">
        <x:v>Concurrency/performance and robustness tests</x:v>
      </x:c>
      <x:c r="G77" s="20" t="str">
        <x:v>Planned</x:v>
      </x:c>
      <x:c r="H77" s="20" t="str">
        <x:v>Reviewed work artifact or documented validation evidence</x:v>
      </x:c>
      <x:c r="I77" s="20" t="str">
        <x:v>Unassigned</x:v>
      </x:c>
      <x:c r="J77" s="20" t="str"/>
    </x:row>
    <x:row r="78" ht="31" customHeight="1">
      <x:c r="A78" s="24" t="str">
        <x:v>☐</x:v>
      </x:c>
      <x:c r="B78" s="20" t="str">
        <x:v>74</x:v>
      </x:c>
      <x:c r="C78" s="20" t="str">
        <x:v>DAY-074</x:v>
      </x:c>
      <x:c r="D78" s="20" t="str">
        <x:v>15</x:v>
      </x:c>
      <x:c r="E78" s="20" t="str">
        <x:v>Release candidate</x:v>
      </x:c>
      <x:c r="F78" s="20" t="str">
        <x:v>Restore backups and incident recovery rehearsal</x:v>
      </x:c>
      <x:c r="G78" s="20" t="str">
        <x:v>Planned</x:v>
      </x:c>
      <x:c r="H78" s="20" t="str">
        <x:v>Reviewed work artifact or documented validation evidence</x:v>
      </x:c>
      <x:c r="I78" s="20" t="str">
        <x:v>Unassigned</x:v>
      </x:c>
      <x:c r="J78" s="20" t="str"/>
    </x:row>
    <x:row r="79" ht="31" customHeight="1">
      <x:c r="A79" s="24" t="str">
        <x:v>☐</x:v>
      </x:c>
      <x:c r="B79" s="20" t="str">
        <x:v>75</x:v>
      </x:c>
      <x:c r="C79" s="20" t="str">
        <x:v>DAY-075</x:v>
      </x:c>
      <x:c r="D79" s="20" t="str">
        <x:v>15</x:v>
      </x:c>
      <x:c r="E79" s="20" t="str">
        <x:v>Release candidate</x:v>
      </x:c>
      <x:c r="F79" s="20" t="str">
        <x:v>Independent security assessment and fix gating</x:v>
      </x:c>
      <x:c r="G79" s="20" t="str">
        <x:v>Planned</x:v>
      </x:c>
      <x:c r="H79" s="20" t="str">
        <x:v>Reviewed work artifact or documented validation evidence</x:v>
      </x:c>
      <x:c r="I79" s="20" t="str">
        <x:v>Unassigned</x:v>
      </x:c>
      <x:c r="J79" s="20" t="str"/>
    </x:row>
    <x:row r="80" ht="31" customHeight="1">
      <x:c r="A80" s="24" t="str">
        <x:v>☐</x:v>
      </x:c>
      <x:c r="B80" s="20" t="str">
        <x:v>76</x:v>
      </x:c>
      <x:c r="C80" s="20" t="str">
        <x:v>DAY-076</x:v>
      </x:c>
      <x:c r="D80" s="20" t="str">
        <x:v>16</x:v>
      </x:c>
      <x:c r="E80" s="20" t="str">
        <x:v>Controlled paid beta</x:v>
      </x:c>
      <x:c r="F80" s="20" t="str">
        <x:v>Invite limited consenting users after release gate</x:v>
      </x:c>
      <x:c r="G80" s="20" t="str">
        <x:v>Planned</x:v>
      </x:c>
      <x:c r="H80" s="20" t="str">
        <x:v>Reviewed work artifact or documented validation evidence</x:v>
      </x:c>
      <x:c r="I80" s="20" t="str">
        <x:v>Unassigned</x:v>
      </x:c>
      <x:c r="J80" s="20" t="str"/>
    </x:row>
    <x:row r="81" ht="31" customHeight="1">
      <x:c r="A81" s="24" t="str">
        <x:v>☐</x:v>
      </x:c>
      <x:c r="B81" s="20" t="str">
        <x:v>77</x:v>
      </x:c>
      <x:c r="C81" s="20" t="str">
        <x:v>DAY-077</x:v>
      </x:c>
      <x:c r="D81" s="20" t="str">
        <x:v>16</x:v>
      </x:c>
      <x:c r="E81" s="20" t="str">
        <x:v>Controlled paid beta</x:v>
      </x:c>
      <x:c r="F81" s="20" t="str">
        <x:v>Assess import quality, corrections and user comprehension</x:v>
      </x:c>
      <x:c r="G81" s="20" t="str">
        <x:v>Planned</x:v>
      </x:c>
      <x:c r="H81" s="20" t="str">
        <x:v>Reviewed work artifact or documented validation evidence</x:v>
      </x:c>
      <x:c r="I81" s="20" t="str">
        <x:v>Unassigned</x:v>
      </x:c>
      <x:c r="J81" s="20" t="str"/>
    </x:row>
    <x:row r="82" ht="31" customHeight="1">
      <x:c r="A82" s="24" t="str">
        <x:v>☐</x:v>
      </x:c>
      <x:c r="B82" s="20" t="str">
        <x:v>78</x:v>
      </x:c>
      <x:c r="C82" s="20" t="str">
        <x:v>DAY-078</x:v>
      </x:c>
      <x:c r="D82" s="20" t="str">
        <x:v>16</x:v>
      </x:c>
      <x:c r="E82" s="20" t="str">
        <x:v>Controlled paid beta</x:v>
      </x:c>
      <x:c r="F82" s="20" t="str">
        <x:v>Test real early payments and refunds in controlled rollout</x:v>
      </x:c>
      <x:c r="G82" s="20" t="str">
        <x:v>Planned</x:v>
      </x:c>
      <x:c r="H82" s="20" t="str">
        <x:v>Reviewed work artifact or documented validation evidence</x:v>
      </x:c>
      <x:c r="I82" s="20" t="str">
        <x:v>Unassigned</x:v>
      </x:c>
      <x:c r="J82" s="20" t="str"/>
    </x:row>
    <x:row r="83" ht="31" customHeight="1">
      <x:c r="A83" s="24" t="str">
        <x:v>☐</x:v>
      </x:c>
      <x:c r="B83" s="20" t="str">
        <x:v>79</x:v>
      </x:c>
      <x:c r="C83" s="20" t="str">
        <x:v>DAY-079</x:v>
      </x:c>
      <x:c r="D83" s="20" t="str">
        <x:v>16</x:v>
      </x:c>
      <x:c r="E83" s="20" t="str">
        <x:v>Controlled paid beta</x:v>
      </x:c>
      <x:c r="F83" s="20" t="str">
        <x:v>Interview paid/free beta testers and solve biggest problems</x:v>
      </x:c>
      <x:c r="G83" s="20" t="str">
        <x:v>Planned</x:v>
      </x:c>
      <x:c r="H83" s="20" t="str">
        <x:v>Reviewed work artifact or documented validation evidence</x:v>
      </x:c>
      <x:c r="I83" s="20" t="str">
        <x:v>Unassigned</x:v>
      </x:c>
      <x:c r="J83" s="20" t="str"/>
    </x:row>
    <x:row r="84" ht="31" customHeight="1">
      <x:c r="A84" s="24" t="str">
        <x:v>☐</x:v>
      </x:c>
      <x:c r="B84" s="20" t="str">
        <x:v>80</x:v>
      </x:c>
      <x:c r="C84" s="20" t="str">
        <x:v>DAY-080</x:v>
      </x:c>
      <x:c r="D84" s="20" t="str">
        <x:v>16</x:v>
      </x:c>
      <x:c r="E84" s="20" t="str">
        <x:v>Controlled paid beta</x:v>
      </x:c>
      <x:c r="F84" s="20" t="str">
        <x:v>Document support, onboarding and production rollout</x:v>
      </x:c>
      <x:c r="G84" s="20" t="str">
        <x:v>Planned</x:v>
      </x:c>
      <x:c r="H84" s="20" t="str">
        <x:v>Reviewed work artifact or documented validation evidence</x:v>
      </x:c>
      <x:c r="I84" s="20" t="str">
        <x:v>Unassigned</x:v>
      </x:c>
      <x:c r="J84" s="20" t="str"/>
    </x:row>
    <x:row r="85" ht="31" customHeight="1">
      <x:c r="A85" s="24" t="str">
        <x:v>☐</x:v>
      </x:c>
      <x:c r="B85" s="20" t="str">
        <x:v>81</x:v>
      </x:c>
      <x:c r="C85" s="20" t="str">
        <x:v>DAY-081</x:v>
      </x:c>
      <x:c r="D85" s="20" t="str">
        <x:v>17</x:v>
      </x:c>
      <x:c r="E85" s="20" t="str">
        <x:v>Public launch</x:v>
      </x:c>
      <x:c r="F85" s="20" t="str">
        <x:v>Fix high-priority testing and feedback findings</x:v>
      </x:c>
      <x:c r="G85" s="20" t="str">
        <x:v>Planned</x:v>
      </x:c>
      <x:c r="H85" s="20" t="str">
        <x:v>Reviewed work artifact or documented validation evidence</x:v>
      </x:c>
      <x:c r="I85" s="20" t="str">
        <x:v>Unassigned</x:v>
      </x:c>
      <x:c r="J85" s="20" t="str"/>
    </x:row>
    <x:row r="86" ht="31" customHeight="1">
      <x:c r="A86" s="24" t="str">
        <x:v>☐</x:v>
      </x:c>
      <x:c r="B86" s="20" t="str">
        <x:v>82</x:v>
      </x:c>
      <x:c r="C86" s="20" t="str">
        <x:v>DAY-082</x:v>
      </x:c>
      <x:c r="D86" s="20" t="str">
        <x:v>17</x:v>
      </x:c>
      <x:c r="E86" s="20" t="str">
        <x:v>Public launch</x:v>
      </x:c>
      <x:c r="F86" s="20" t="str">
        <x:v>Final end-to-end, auth, tax-policy and billing regression</x:v>
      </x:c>
      <x:c r="G86" s="20" t="str">
        <x:v>Planned</x:v>
      </x:c>
      <x:c r="H86" s="20" t="str">
        <x:v>Reviewed work artifact or documented validation evidence</x:v>
      </x:c>
      <x:c r="I86" s="20" t="str">
        <x:v>Unassigned</x:v>
      </x:c>
      <x:c r="J86" s="20" t="str"/>
    </x:row>
    <x:row r="87" ht="31" customHeight="1">
      <x:c r="A87" s="24" t="str">
        <x:v>☐</x:v>
      </x:c>
      <x:c r="B87" s="20" t="str">
        <x:v>83</x:v>
      </x:c>
      <x:c r="C87" s="20" t="str">
        <x:v>DAY-083</x:v>
      </x:c>
      <x:c r="D87" s="20" t="str">
        <x:v>17</x:v>
      </x:c>
      <x:c r="E87" s="20" t="str">
        <x:v>Public launch</x:v>
      </x:c>
      <x:c r="F87" s="20" t="str">
        <x:v>Verify production alerts, recovery and rollback</x:v>
      </x:c>
      <x:c r="G87" s="20" t="str">
        <x:v>Planned</x:v>
      </x:c>
      <x:c r="H87" s="20" t="str">
        <x:v>Reviewed work artifact or documented validation evidence</x:v>
      </x:c>
      <x:c r="I87" s="20" t="str">
        <x:v>Unassigned</x:v>
      </x:c>
      <x:c r="J87" s="20" t="str"/>
    </x:row>
    <x:row r="88" ht="31" customHeight="1">
      <x:c r="A88" s="24" t="str">
        <x:v>☐</x:v>
      </x:c>
      <x:c r="B88" s="20" t="str">
        <x:v>84</x:v>
      </x:c>
      <x:c r="C88" s="20" t="str">
        <x:v>DAY-084</x:v>
      </x:c>
      <x:c r="D88" s="20" t="str">
        <x:v>17</x:v>
      </x:c>
      <x:c r="E88" s="20" t="str">
        <x:v>Public launch</x:v>
      </x:c>
      <x:c r="F88" s="20" t="str">
        <x:v>Full release rehearsal and go/no-go decision</x:v>
      </x:c>
      <x:c r="G88" s="20" t="str">
        <x:v>Planned</x:v>
      </x:c>
      <x:c r="H88" s="20" t="str">
        <x:v>Reviewed work artifact or documented validation evidence</x:v>
      </x:c>
      <x:c r="I88" s="20" t="str">
        <x:v>Unassigned</x:v>
      </x:c>
      <x:c r="J88" s="20" t="str"/>
    </x:row>
    <x:row r="89" ht="31" customHeight="1">
      <x:c r="A89" s="24" t="str">
        <x:v>☐</x:v>
      </x:c>
      <x:c r="B89" s="20" t="str">
        <x:v>85</x:v>
      </x:c>
      <x:c r="C89" s="20" t="str">
        <x:v>DAY-085</x:v>
      </x:c>
      <x:c r="D89" s="20" t="str">
        <x:v>17</x:v>
      </x:c>
      <x:c r="E89" s="20" t="str">
        <x:v>Public launch</x:v>
      </x:c>
      <x:c r="F89" s="20" t="str">
        <x:v>Limited public launch if all security and accuracy gates pass</x:v>
      </x:c>
      <x:c r="G89" s="20" t="str">
        <x:v>Planned</x:v>
      </x:c>
      <x:c r="H89" s="20" t="str">
        <x:v>Reviewed work artifact or documented validation evidence</x:v>
      </x:c>
      <x:c r="I89" s="20" t="str">
        <x:v>Unassigned</x:v>
      </x:c>
      <x:c r="J89" s="20" t="str"/>
    </x:row>
  </x:sheetData>
  <x:mergeCells>
    <x:mergeCell ref="A1:J1"/>
    <x:mergeCell ref="A2:J2"/>
  </x:mergeCells>
  <x:conditionalFormatting sqref="G5:G89">
    <x:cfRule type="expression" dxfId="4" priority="1">
      <x:formula>G5="Verified Done"</x:formula>
    </x:cfRule>
    <x:cfRule type="expression" dxfId="5" priority="2">
      <x:formula>G5="Blocked"</x:formula>
    </x:cfRule>
    <x:cfRule type="expression" dxfId="6" priority="3">
      <x:formula>G5="Needs Review"</x:formula>
    </x:cfRule>
    <x:cfRule type="expression" dxfId="7" priority="4">
      <x:formula>G5="In Progress"</x:formula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6" hidden="0" customWidth="1"/>
    <x:col min="2" max="2" width="21" hidden="0" customWidth="1"/>
    <x:col min="3" max="3" width="14" hidden="0" customWidth="1"/>
    <x:col min="4" max="4" width="12" hidden="0" customWidth="1"/>
    <x:col min="5" max="5" width="21" hidden="0" customWidth="1"/>
    <x:col min="6" max="6" width="19" hidden="0" customWidth="1"/>
    <x:col min="7" max="7" width="17" hidden="0" customWidth="1"/>
    <x:col min="8" max="8" width="18" hidden="0" customWidth="1"/>
  </x:cols>
  <x:sheetData>
    <x:row r="1" ht="42" customHeight="1">
      <x:c r="A1" s="27" t="str">
        <x:v>FINNEST   PROJECT DELIVERY DASHBOARD</x:v>
      </x:c>
      <x:c r="B1" s="27"/>
      <x:c r="C1" s="27"/>
      <x:c r="D1" s="27"/>
      <x:c r="E1" s="27"/>
      <x:c r="F1" s="27"/>
      <x:c r="G1" s="27"/>
      <x:c r="H1" s="27"/>
    </x:row>
    <x:row r="2" ht="25" customHeight="1">
      <x:c r="A2" s="30" t="str">
        <x:v>Status is generated from GitHub Issues. A closed issue without a verified label is NOT complete.</x:v>
      </x:c>
      <x:c r="B2" s="30"/>
      <x:c r="C2" s="30"/>
      <x:c r="D2" s="30"/>
      <x:c r="E2" s="30"/>
      <x:c r="F2" s="30"/>
      <x:c r="G2" s="30"/>
      <x:c r="H2" s="30"/>
    </x:row>
    <x:row r="4" ht="28" customHeight="1">
      <x:c r="A4" s="11" t="str">
        <x:v>PROJECT METRIC</x:v>
      </x:c>
      <x:c r="B4" s="11" t="str">
        <x:v>CURRENT</x:v>
      </x:c>
      <x:c r="D4" s="11" t="str">
        <x:v>RELEASE</x:v>
      </x:c>
      <x:c r="E4" s="11" t="str">
        <x:v>PLANNED</x:v>
      </x:c>
      <x:c r="F4" s="11" t="str">
        <x:v>VERIFIED</x:v>
      </x:c>
    </x:row>
    <x:row r="5" ht="24" customHeight="1">
      <x:c r="A5" t="str">
        <x:v>V1 features verified</x:v>
      </x:c>
      <x:c r="B5" t="n">
        <x:f>COUNTIFS(Features!C5:C198,"V1",Features!H5:H198,"Verified Done")</x:f>
        <x:v>0</x:v>
      </x:c>
      <x:c r="D5" t="str">
        <x:v>V1</x:v>
      </x:c>
      <x:c r="E5" t="n">
        <x:f>COUNTIF(Features!C5:C198,D5)</x:f>
        <x:v>144</x:v>
      </x:c>
      <x:c r="F5" t="n">
        <x:f>COUNTIFS(Features!C5:C198,D5,Features!H5:H198,"Verified Done")</x:f>
        <x:v>0</x:v>
      </x:c>
    </x:row>
    <x:row r="6" ht="24" customHeight="1">
      <x:c r="A6" t="str">
        <x:v>V1 total features</x:v>
      </x:c>
      <x:c r="B6" t="n">
        <x:f>COUNTIF(Features!C5:C198,"V1")</x:f>
        <x:v>144</x:v>
      </x:c>
      <x:c r="D6" t="str">
        <x:v>V1.5</x:v>
      </x:c>
      <x:c r="E6" t="n">
        <x:f>COUNTIF(Features!C5:C198,D6)</x:f>
        <x:v>10</x:v>
      </x:c>
      <x:c r="F6" t="n">
        <x:f>COUNTIFS(Features!C5:C198,D6,Features!H5:H198,"Verified Done")</x:f>
        <x:v>0</x:v>
      </x:c>
    </x:row>
    <x:row r="7" ht="24" customHeight="1">
      <x:c r="A7" s="36" t="str">
        <x:v>V1 completion</x:v>
      </x:c>
      <x:c r="B7" s="37" t="n">
        <x:f>IFERROR(B5/B6,0)</x:f>
        <x:v>0</x:v>
      </x:c>
      <x:c r="D7" t="str">
        <x:v>V2</x:v>
      </x:c>
      <x:c r="E7" t="n">
        <x:f>COUNTIF(Features!C5:C198,D7)</x:f>
        <x:v>20</x:v>
      </x:c>
      <x:c r="F7" t="n">
        <x:f>COUNTIFS(Features!C5:C198,D7,Features!H5:H198,"Verified Done")</x:f>
        <x:v>0</x:v>
      </x:c>
    </x:row>
    <x:row r="8" ht="24" customHeight="1">
      <x:c r="A8" t="str">
        <x:v>All features verified</x:v>
      </x:c>
      <x:c r="B8" t="n">
        <x:f>COUNTIF(Features!H5:H198,"Verified Done")</x:f>
        <x:v>0</x:v>
      </x:c>
      <x:c r="D8" t="str">
        <x:v>V3+</x:v>
      </x:c>
      <x:c r="E8" t="n">
        <x:f>COUNTIF(Features!C5:C198,D8)</x:f>
        <x:v>8</x:v>
      </x:c>
      <x:c r="F8" t="n">
        <x:f>COUNTIFS(Features!C5:C198,D8,Features!H5:H198,"Verified Done")</x:f>
        <x:v>0</x:v>
      </x:c>
    </x:row>
    <x:row r="9" ht="24" customHeight="1">
      <x:c r="A9" t="str">
        <x:v>All features total</x:v>
      </x:c>
      <x:c r="B9" t="n">
        <x:f>COUNTA(Features!B5:B198)</x:f>
        <x:v>194</x:v>
      </x:c>
      <x:c r="D9" t="str">
        <x:v>Future</x:v>
      </x:c>
      <x:c r="E9" t="n">
        <x:f>COUNTIF(Features!C5:C198,D9)</x:f>
        <x:v>12</x:v>
      </x:c>
      <x:c r="F9" t="n">
        <x:f>COUNTIFS(Features!C5:C198,D9,Features!H5:H198,"Verified Done")</x:f>
        <x:v>0</x:v>
      </x:c>
    </x:row>
    <x:row r="10" ht="24" customHeight="1">
      <x:c r="A10" t="str">
        <x:v>Daily tasks verified</x:v>
      </x:c>
      <x:c r="B10" t="n">
        <x:f>COUNTIF('Daily Plan'!G5:G89,"Verified Done")</x:f>
        <x:v>0</x:v>
      </x:c>
    </x:row>
    <x:row r="11" ht="28" customHeight="1">
      <x:c r="A11" t="str">
        <x:v>Daily tasks total</x:v>
      </x:c>
      <x:c r="B11" t="n">
        <x:f>COUNTA('Daily Plan'!C5:C89)</x:f>
        <x:v>85</x:v>
      </x:c>
      <x:c r="D11" s="42" t="str">
        <x:v>COMPLETION POLICY</x:v>
      </x:c>
      <x:c r="E11" s="42"/>
      <x:c r="F11" s="42"/>
      <x:c r="G11" s="42"/>
      <x:c r="H11" s="42"/>
    </x:row>
    <x:row r="12" ht="22" customHeight="1">
      <x:c r="A12" s="36" t="str">
        <x:v>Day completion</x:v>
      </x:c>
      <x:c r="B12" s="37" t="n">
        <x:f>IFERROR(B10/B11,0)</x:f>
        <x:v>0</x:v>
      </x:c>
      <x:c r="D12" t="str">
        <x:v>☑ Verified Done = issue closed AND label verified</x:v>
      </x:c>
    </x:row>
    <x:row r="13" ht="22" customHeight="1">
      <x:c r="D13" t="str">
        <x:v>☐ Needs Review = issue closed, not verified</x:v>
      </x:c>
    </x:row>
    <x:row r="14" ht="22" customHeight="1">
      <x:c r="D14" t="str">
        <x:v>☐ In Progress = open issue labeled in-progress</x:v>
      </x:c>
    </x:row>
    <x:row r="15" ht="28" customHeight="1">
      <x:c r="A15" s="42" t="str">
        <x:v>LATEST SYNC</x:v>
      </x:c>
      <x:c r="B15" s="42"/>
      <x:c r="C15" s="42"/>
      <x:c r="D15" t="str">
        <x:v>☐ Blocked = open issue labeled blocked</x:v>
      </x:c>
    </x:row>
    <x:row r="16" ht="28" customHeight="1">
      <x:c r="A16" t="str">
        <x:v>2026-10-09 00:00 UTC</x:v>
      </x:c>
      <x:c r="D16" t="str">
        <x:v>☐ Planned = no issue or no active workflow label</x:v>
      </x:c>
    </x:row>
    <x:row r="17" ht="22" customHeight="1">
      <x:c r="D17" t="str">
        <x:v>Security/tax launch signoff is a separate gate</x:v>
      </x:c>
    </x:row>
    <x:row r="19" ht="34" customHeight="1">
      <x:c r="A19" s="46" t="str">
        <x:v>Edit task status in GitHub Issues; these workbook tabs are automatically regenerated by the project workflow.</x:v>
      </x:c>
      <x:c r="B19" s="46"/>
      <x:c r="C19" s="46"/>
      <x:c r="D19" s="46"/>
      <x:c r="E19" s="46"/>
      <x:c r="F19" s="46"/>
      <x:c r="G19" s="46"/>
      <x:c r="H19" s="46"/>
    </x:row>
  </x:sheetData>
  <x:mergeCells>
    <x:mergeCell ref="A1:H1"/>
    <x:mergeCell ref="A2:H2"/>
    <x:mergeCell ref="D11:H11"/>
    <x:mergeCell ref="D12:H12"/>
    <x:mergeCell ref="D13:H13"/>
    <x:mergeCell ref="D14:H14"/>
    <x:mergeCell ref="D15:H15"/>
    <x:mergeCell ref="D16:H16"/>
    <x:mergeCell ref="D17:H17"/>
    <x:mergeCell ref="A15:C15"/>
    <x:mergeCell ref="A16:C16"/>
    <x:mergeCell ref="A19:H19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3" hidden="0" customWidth="1"/>
    <x:col min="2" max="2" width="6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</x:cols>
  <x:sheetData>
    <x:row r="1" ht="38" customHeight="1">
      <x:c r="A1" s="3" t="str">
        <x:v>HOW AUTOMATIC CHECKMARKS WORK</x:v>
      </x:c>
      <x:c r="B1" s="3"/>
      <x:c r="C1" s="3"/>
      <x:c r="D1" s="3"/>
      <x:c r="E1" s="3"/>
      <x:c r="F1" s="3"/>
      <x:c r="G1" s="3"/>
    </x:row>
    <x:row r="3" ht="41" customHeight="1">
      <x:c r="A3" s="51" t="str">
        <x:v>STEP 1</x:v>
      </x:c>
      <x:c r="B3" s="20" t="str">
        <x:v>Create a private GitHub repo, push the starter pack and enable Issues + Actions.</x:v>
      </x:c>
    </x:row>
    <x:row r="4" ht="41" customHeight="1">
      <x:c r="A4" s="51" t="str">
        <x:v>STEP 2</x:v>
      </x:c>
      <x:c r="B4" s="20" t="str">
        <x:v>Create Issues titled [FIN-001] ... or [DAY-001] ... matching the stable IDs.</x:v>
      </x:c>
    </x:row>
    <x:row r="5" ht="41" customHeight="1">
      <x:c r="A5" s="51" t="str">
        <x:v>STEP 3</x:v>
      </x:c>
      <x:c r="B5" s="20" t="str">
        <x:v>Apply in-progress while Astra works, or blocked when waiting on a dependency.</x:v>
      </x:c>
    </x:row>
    <x:row r="6" ht="41" customHeight="1">
      <x:c r="A6" s="51" t="str">
        <x:v>STEP 4</x:v>
      </x:c>
      <x:c r="B6" s="20" t="str">
        <x:v>Review the PR, tests, security/tax acceptance criteria and technical documentation.</x:v>
      </x:c>
    </x:row>
    <x:row r="7" ht="41" customHeight="1">
      <x:c r="A7" s="51" t="str">
        <x:v>STEP 5</x:v>
      </x:c>
      <x:c r="B7" s="20" t="str">
        <x:v>When independently verified, add the verified label and close the issue.</x:v>
      </x:c>
    </x:row>
    <x:row r="8" ht="41" customHeight="1">
      <x:c r="A8" s="51" t="str">
        <x:v>STEP 6</x:v>
      </x:c>
      <x:c r="B8" s="20" t="str">
        <x:v>GitHub Actions updates the CSVs, Excel workbook and progress docs automatically.</x:v>
      </x:c>
    </x:row>
    <x:row r="9" ht="41" customHeight="1">
      <x:c r="A9" s="51" t="str">
        <x:v>STEP 7</x:v>
      </x:c>
      <x:c r="B9" s="20" t="str">
        <x:v>If a verified issue is reopened, its checkmark disappears at the next sync.</x:v>
      </x:c>
    </x:row>
    <x:row r="10" ht="41" customHeight="1">
      <x:c r="A10" s="51" t="str">
        <x:v>RENAMING</x:v>
      </x:c>
      <x:c r="B10" s="20" t="str">
        <x:v>Change config/brand.json with scripts/rebrand.py. IDs remain unchanged.</x:v>
      </x:c>
    </x:row>
    <x:row r="11" ht="41" customHeight="1">
      <x:c r="A11" s="51" t="str">
        <x:v>IMPORTANT</x:v>
      </x:c>
      <x:c r="B11" s="20" t="str">
        <x:v>No live GitHub automation is active until you create/connect your own repository.</x:v>
      </x:c>
    </x:row>
    <x:row r="14" ht="40" customHeight="1">
      <x:c r="A14" s="57" t="str">
        <x:v>Critical safeguard: only CLOSED + VERIFIED issues produce a checked box. Generated documents report issue states, not proof that code works.</x:v>
      </x:c>
      <x:c r="B14" s="57"/>
      <x:c r="C14" s="57"/>
      <x:c r="D14" s="57"/>
      <x:c r="E14" s="57"/>
      <x:c r="F14" s="57"/>
      <x:c r="G14" s="57"/>
    </x:row>
  </x:sheetData>
  <x:mergeCells>
    <x:mergeCell ref="A1:G1"/>
    <x:mergeCell ref="A14:G14"/>
  </x:mergeCells>
  <x:pageMargins left="0.7" right="0.7" top="0.75" bottom="0.75" header="0.3" footer="0.3"/>
</x:worksheet>
</file>